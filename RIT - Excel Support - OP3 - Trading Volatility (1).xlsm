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co.salerno\Dropbox (Finance Lab, Rotman)\RIT\RIT 2.0\Case Documents\RIT_December2015\Instructor\Cases\OP3 - Trading Volatility\"/>
    </mc:Choice>
  </mc:AlternateContent>
  <bookViews>
    <workbookView xWindow="0" yWindow="0" windowWidth="28800" windowHeight="12720"/>
  </bookViews>
  <sheets>
    <sheet name="Excel Support" sheetId="1" r:id="rId1"/>
    <sheet name="Chart Data" sheetId="2" r:id="rId2"/>
  </sheets>
  <functionGroups builtInGroupCount="18"/>
  <definedNames>
    <definedName name="Beginning_of_case">'Chart Data'!$I$5</definedName>
    <definedName name="chart_check">'Chart Data'!$I$3</definedName>
    <definedName name="chart_reset">'Chart Data'!$I$2</definedName>
    <definedName name="chartdata">'Chart Data'!$B$2:$B$601</definedName>
    <definedName name="currenttick">'Chart Data'!$K$3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40410.6428819444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Portfolio_Delta">'Excel Support'!$B$21</definedName>
    <definedName name="RiskFree">'Excel Support'!$B$14</definedName>
    <definedName name="StockPrice">'Excel Support'!$B$8</definedName>
    <definedName name="Time_to_Maturity">'Excel Support'!$B$13</definedName>
    <definedName name="Volatility">'Excel Support'!$B$15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" l="1"/>
  <c r="E601" i="2" l="1"/>
  <c r="D601" i="2"/>
  <c r="E600" i="2"/>
  <c r="D600" i="2"/>
  <c r="E599" i="2"/>
  <c r="D599" i="2"/>
  <c r="E598" i="2"/>
  <c r="D598" i="2"/>
  <c r="E597" i="2"/>
  <c r="D597" i="2"/>
  <c r="E596" i="2"/>
  <c r="D596" i="2"/>
  <c r="E595" i="2"/>
  <c r="D595" i="2"/>
  <c r="E594" i="2"/>
  <c r="D594" i="2"/>
  <c r="E593" i="2"/>
  <c r="D593" i="2"/>
  <c r="E592" i="2"/>
  <c r="D592" i="2"/>
  <c r="E591" i="2"/>
  <c r="D591" i="2"/>
  <c r="E590" i="2"/>
  <c r="D590" i="2"/>
  <c r="E589" i="2"/>
  <c r="D589" i="2"/>
  <c r="E588" i="2"/>
  <c r="D588" i="2"/>
  <c r="E587" i="2"/>
  <c r="D587" i="2"/>
  <c r="E586" i="2"/>
  <c r="D586" i="2"/>
  <c r="E585" i="2"/>
  <c r="D585" i="2"/>
  <c r="E584" i="2"/>
  <c r="D584" i="2"/>
  <c r="E583" i="2"/>
  <c r="D583" i="2"/>
  <c r="E582" i="2"/>
  <c r="D582" i="2"/>
  <c r="E581" i="2"/>
  <c r="D581" i="2"/>
  <c r="E580" i="2"/>
  <c r="D580" i="2"/>
  <c r="E579" i="2"/>
  <c r="D579" i="2"/>
  <c r="E578" i="2"/>
  <c r="D578" i="2"/>
  <c r="E577" i="2"/>
  <c r="D577" i="2"/>
  <c r="E576" i="2"/>
  <c r="D576" i="2"/>
  <c r="E575" i="2"/>
  <c r="D575" i="2"/>
  <c r="E574" i="2"/>
  <c r="D574" i="2"/>
  <c r="E573" i="2"/>
  <c r="D573" i="2"/>
  <c r="E572" i="2"/>
  <c r="D572" i="2"/>
  <c r="E571" i="2"/>
  <c r="D571" i="2"/>
  <c r="E570" i="2"/>
  <c r="D570" i="2"/>
  <c r="E569" i="2"/>
  <c r="D569" i="2"/>
  <c r="E568" i="2"/>
  <c r="D568" i="2"/>
  <c r="E567" i="2"/>
  <c r="D567" i="2"/>
  <c r="E566" i="2"/>
  <c r="D566" i="2"/>
  <c r="E565" i="2"/>
  <c r="D565" i="2"/>
  <c r="E564" i="2"/>
  <c r="D564" i="2"/>
  <c r="E563" i="2"/>
  <c r="D563" i="2"/>
  <c r="E562" i="2"/>
  <c r="D562" i="2"/>
  <c r="E561" i="2"/>
  <c r="D561" i="2"/>
  <c r="E560" i="2"/>
  <c r="D560" i="2"/>
  <c r="E559" i="2"/>
  <c r="D559" i="2"/>
  <c r="E558" i="2"/>
  <c r="D558" i="2"/>
  <c r="E557" i="2"/>
  <c r="D557" i="2"/>
  <c r="E556" i="2"/>
  <c r="D556" i="2"/>
  <c r="E555" i="2"/>
  <c r="D555" i="2"/>
  <c r="E554" i="2"/>
  <c r="D554" i="2"/>
  <c r="E553" i="2"/>
  <c r="D553" i="2"/>
  <c r="E552" i="2"/>
  <c r="D552" i="2"/>
  <c r="E551" i="2"/>
  <c r="D551" i="2"/>
  <c r="E550" i="2"/>
  <c r="D550" i="2"/>
  <c r="E549" i="2"/>
  <c r="D549" i="2"/>
  <c r="E548" i="2"/>
  <c r="D548" i="2"/>
  <c r="E547" i="2"/>
  <c r="D547" i="2"/>
  <c r="E546" i="2"/>
  <c r="D546" i="2"/>
  <c r="E545" i="2"/>
  <c r="D545" i="2"/>
  <c r="E544" i="2"/>
  <c r="D544" i="2"/>
  <c r="E543" i="2"/>
  <c r="D543" i="2"/>
  <c r="E542" i="2"/>
  <c r="D542" i="2"/>
  <c r="E541" i="2"/>
  <c r="D541" i="2"/>
  <c r="E540" i="2"/>
  <c r="D540" i="2"/>
  <c r="E539" i="2"/>
  <c r="D539" i="2"/>
  <c r="E538" i="2"/>
  <c r="D538" i="2"/>
  <c r="E537" i="2"/>
  <c r="D537" i="2"/>
  <c r="E536" i="2"/>
  <c r="D536" i="2"/>
  <c r="E535" i="2"/>
  <c r="D535" i="2"/>
  <c r="E534" i="2"/>
  <c r="D534" i="2"/>
  <c r="E533" i="2"/>
  <c r="D533" i="2"/>
  <c r="E532" i="2"/>
  <c r="D532" i="2"/>
  <c r="E531" i="2"/>
  <c r="D531" i="2"/>
  <c r="E530" i="2"/>
  <c r="D530" i="2"/>
  <c r="E529" i="2"/>
  <c r="D529" i="2"/>
  <c r="E528" i="2"/>
  <c r="D528" i="2"/>
  <c r="E527" i="2"/>
  <c r="D527" i="2"/>
  <c r="E526" i="2"/>
  <c r="D526" i="2"/>
  <c r="E525" i="2"/>
  <c r="D525" i="2"/>
  <c r="E524" i="2"/>
  <c r="D524" i="2"/>
  <c r="E523" i="2"/>
  <c r="D523" i="2"/>
  <c r="E522" i="2"/>
  <c r="D522" i="2"/>
  <c r="E521" i="2"/>
  <c r="D521" i="2"/>
  <c r="E520" i="2"/>
  <c r="D520" i="2"/>
  <c r="E519" i="2"/>
  <c r="D519" i="2"/>
  <c r="E518" i="2"/>
  <c r="D518" i="2"/>
  <c r="E517" i="2"/>
  <c r="D517" i="2"/>
  <c r="E516" i="2"/>
  <c r="D516" i="2"/>
  <c r="E515" i="2"/>
  <c r="D515" i="2"/>
  <c r="E514" i="2"/>
  <c r="D514" i="2"/>
  <c r="E513" i="2"/>
  <c r="D513" i="2"/>
  <c r="E512" i="2"/>
  <c r="D512" i="2"/>
  <c r="E511" i="2"/>
  <c r="D511" i="2"/>
  <c r="E510" i="2"/>
  <c r="D510" i="2"/>
  <c r="E509" i="2"/>
  <c r="D509" i="2"/>
  <c r="E508" i="2"/>
  <c r="D508" i="2"/>
  <c r="E507" i="2"/>
  <c r="D507" i="2"/>
  <c r="E506" i="2"/>
  <c r="D506" i="2"/>
  <c r="E505" i="2"/>
  <c r="D505" i="2"/>
  <c r="E504" i="2"/>
  <c r="D504" i="2"/>
  <c r="E503" i="2"/>
  <c r="D503" i="2"/>
  <c r="E502" i="2"/>
  <c r="D502" i="2"/>
  <c r="E501" i="2"/>
  <c r="D501" i="2"/>
  <c r="E500" i="2"/>
  <c r="D500" i="2"/>
  <c r="E499" i="2"/>
  <c r="D499" i="2"/>
  <c r="E498" i="2"/>
  <c r="D498" i="2"/>
  <c r="E497" i="2"/>
  <c r="D497" i="2"/>
  <c r="E496" i="2"/>
  <c r="D496" i="2"/>
  <c r="E495" i="2"/>
  <c r="D495" i="2"/>
  <c r="E494" i="2"/>
  <c r="D494" i="2"/>
  <c r="E493" i="2"/>
  <c r="D493" i="2"/>
  <c r="E492" i="2"/>
  <c r="D492" i="2"/>
  <c r="E491" i="2"/>
  <c r="D491" i="2"/>
  <c r="E490" i="2"/>
  <c r="D490" i="2"/>
  <c r="E489" i="2"/>
  <c r="D489" i="2"/>
  <c r="E488" i="2"/>
  <c r="D488" i="2"/>
  <c r="E487" i="2"/>
  <c r="D487" i="2"/>
  <c r="E486" i="2"/>
  <c r="D486" i="2"/>
  <c r="E485" i="2"/>
  <c r="D485" i="2"/>
  <c r="E484" i="2"/>
  <c r="D484" i="2"/>
  <c r="E483" i="2"/>
  <c r="D483" i="2"/>
  <c r="E482" i="2"/>
  <c r="D482" i="2"/>
  <c r="E481" i="2"/>
  <c r="D481" i="2"/>
  <c r="E480" i="2"/>
  <c r="D480" i="2"/>
  <c r="E479" i="2"/>
  <c r="D479" i="2"/>
  <c r="E478" i="2"/>
  <c r="D478" i="2"/>
  <c r="E477" i="2"/>
  <c r="D477" i="2"/>
  <c r="E476" i="2"/>
  <c r="D476" i="2"/>
  <c r="E475" i="2"/>
  <c r="D475" i="2"/>
  <c r="E474" i="2"/>
  <c r="D474" i="2"/>
  <c r="E473" i="2"/>
  <c r="D473" i="2"/>
  <c r="E472" i="2"/>
  <c r="D472" i="2"/>
  <c r="E471" i="2"/>
  <c r="D471" i="2"/>
  <c r="E470" i="2"/>
  <c r="D470" i="2"/>
  <c r="E469" i="2"/>
  <c r="D469" i="2"/>
  <c r="E468" i="2"/>
  <c r="D468" i="2"/>
  <c r="E467" i="2"/>
  <c r="D467" i="2"/>
  <c r="E466" i="2"/>
  <c r="D466" i="2"/>
  <c r="E465" i="2"/>
  <c r="D465" i="2"/>
  <c r="E464" i="2"/>
  <c r="D464" i="2"/>
  <c r="E463" i="2"/>
  <c r="D463" i="2"/>
  <c r="E462" i="2"/>
  <c r="D462" i="2"/>
  <c r="E461" i="2"/>
  <c r="D461" i="2"/>
  <c r="E460" i="2"/>
  <c r="D460" i="2"/>
  <c r="E459" i="2"/>
  <c r="D459" i="2"/>
  <c r="E458" i="2"/>
  <c r="D458" i="2"/>
  <c r="E457" i="2"/>
  <c r="D457" i="2"/>
  <c r="E456" i="2"/>
  <c r="D456" i="2"/>
  <c r="E455" i="2"/>
  <c r="D455" i="2"/>
  <c r="E454" i="2"/>
  <c r="D454" i="2"/>
  <c r="E453" i="2"/>
  <c r="D453" i="2"/>
  <c r="E452" i="2"/>
  <c r="D452" i="2"/>
  <c r="E451" i="2"/>
  <c r="D451" i="2"/>
  <c r="E450" i="2"/>
  <c r="D450" i="2"/>
  <c r="E449" i="2"/>
  <c r="D449" i="2"/>
  <c r="E448" i="2"/>
  <c r="D448" i="2"/>
  <c r="E447" i="2"/>
  <c r="D447" i="2"/>
  <c r="E446" i="2"/>
  <c r="D446" i="2"/>
  <c r="E445" i="2"/>
  <c r="D445" i="2"/>
  <c r="E444" i="2"/>
  <c r="D444" i="2"/>
  <c r="E443" i="2"/>
  <c r="D443" i="2"/>
  <c r="E442" i="2"/>
  <c r="D442" i="2"/>
  <c r="E441" i="2"/>
  <c r="D441" i="2"/>
  <c r="E440" i="2"/>
  <c r="D440" i="2"/>
  <c r="E439" i="2"/>
  <c r="D439" i="2"/>
  <c r="E438" i="2"/>
  <c r="D438" i="2"/>
  <c r="E437" i="2"/>
  <c r="D437" i="2"/>
  <c r="E436" i="2"/>
  <c r="D436" i="2"/>
  <c r="E435" i="2"/>
  <c r="D435" i="2"/>
  <c r="E434" i="2"/>
  <c r="D434" i="2"/>
  <c r="E433" i="2"/>
  <c r="D433" i="2"/>
  <c r="E432" i="2"/>
  <c r="D432" i="2"/>
  <c r="E431" i="2"/>
  <c r="D431" i="2"/>
  <c r="E430" i="2"/>
  <c r="D430" i="2"/>
  <c r="E429" i="2"/>
  <c r="D429" i="2"/>
  <c r="E428" i="2"/>
  <c r="D428" i="2"/>
  <c r="E427" i="2"/>
  <c r="D427" i="2"/>
  <c r="E426" i="2"/>
  <c r="D426" i="2"/>
  <c r="E425" i="2"/>
  <c r="D425" i="2"/>
  <c r="E424" i="2"/>
  <c r="D424" i="2"/>
  <c r="E423" i="2"/>
  <c r="D423" i="2"/>
  <c r="E422" i="2"/>
  <c r="D422" i="2"/>
  <c r="E421" i="2"/>
  <c r="D421" i="2"/>
  <c r="E420" i="2"/>
  <c r="D420" i="2"/>
  <c r="E419" i="2"/>
  <c r="D419" i="2"/>
  <c r="E418" i="2"/>
  <c r="D418" i="2"/>
  <c r="E417" i="2"/>
  <c r="D417" i="2"/>
  <c r="E416" i="2"/>
  <c r="D416" i="2"/>
  <c r="E415" i="2"/>
  <c r="D415" i="2"/>
  <c r="E414" i="2"/>
  <c r="D414" i="2"/>
  <c r="E413" i="2"/>
  <c r="D413" i="2"/>
  <c r="E412" i="2"/>
  <c r="D412" i="2"/>
  <c r="E411" i="2"/>
  <c r="D411" i="2"/>
  <c r="E410" i="2"/>
  <c r="D410" i="2"/>
  <c r="E409" i="2"/>
  <c r="D409" i="2"/>
  <c r="E408" i="2"/>
  <c r="D408" i="2"/>
  <c r="E407" i="2"/>
  <c r="D407" i="2"/>
  <c r="E406" i="2"/>
  <c r="D406" i="2"/>
  <c r="E405" i="2"/>
  <c r="D405" i="2"/>
  <c r="E404" i="2"/>
  <c r="D404" i="2"/>
  <c r="E403" i="2"/>
  <c r="D403" i="2"/>
  <c r="E402" i="2"/>
  <c r="D402" i="2"/>
  <c r="E401" i="2"/>
  <c r="D401" i="2"/>
  <c r="E400" i="2"/>
  <c r="D400" i="2"/>
  <c r="E399" i="2"/>
  <c r="D399" i="2"/>
  <c r="E398" i="2"/>
  <c r="D398" i="2"/>
  <c r="E397" i="2"/>
  <c r="D397" i="2"/>
  <c r="E396" i="2"/>
  <c r="D396" i="2"/>
  <c r="E395" i="2"/>
  <c r="D395" i="2"/>
  <c r="E394" i="2"/>
  <c r="D394" i="2"/>
  <c r="E393" i="2"/>
  <c r="D393" i="2"/>
  <c r="E392" i="2"/>
  <c r="D392" i="2"/>
  <c r="E391" i="2"/>
  <c r="D391" i="2"/>
  <c r="E390" i="2"/>
  <c r="D390" i="2"/>
  <c r="E389" i="2"/>
  <c r="D389" i="2"/>
  <c r="E388" i="2"/>
  <c r="D388" i="2"/>
  <c r="E387" i="2"/>
  <c r="D387" i="2"/>
  <c r="E386" i="2"/>
  <c r="D386" i="2"/>
  <c r="E385" i="2"/>
  <c r="D385" i="2"/>
  <c r="E384" i="2"/>
  <c r="D384" i="2"/>
  <c r="E383" i="2"/>
  <c r="D383" i="2"/>
  <c r="E382" i="2"/>
  <c r="D382" i="2"/>
  <c r="E381" i="2"/>
  <c r="D381" i="2"/>
  <c r="E380" i="2"/>
  <c r="D380" i="2"/>
  <c r="E379" i="2"/>
  <c r="D379" i="2"/>
  <c r="E378" i="2"/>
  <c r="D378" i="2"/>
  <c r="E377" i="2"/>
  <c r="D377" i="2"/>
  <c r="E376" i="2"/>
  <c r="D376" i="2"/>
  <c r="E375" i="2"/>
  <c r="D375" i="2"/>
  <c r="E374" i="2"/>
  <c r="D374" i="2"/>
  <c r="E373" i="2"/>
  <c r="D373" i="2"/>
  <c r="E372" i="2"/>
  <c r="D372" i="2"/>
  <c r="E371" i="2"/>
  <c r="D371" i="2"/>
  <c r="E370" i="2"/>
  <c r="D370" i="2"/>
  <c r="E369" i="2"/>
  <c r="D369" i="2"/>
  <c r="E368" i="2"/>
  <c r="D368" i="2"/>
  <c r="E367" i="2"/>
  <c r="D367" i="2"/>
  <c r="E366" i="2"/>
  <c r="D366" i="2"/>
  <c r="E365" i="2"/>
  <c r="D365" i="2"/>
  <c r="E364" i="2"/>
  <c r="D364" i="2"/>
  <c r="E363" i="2"/>
  <c r="D363" i="2"/>
  <c r="E362" i="2"/>
  <c r="D362" i="2"/>
  <c r="E361" i="2"/>
  <c r="D361" i="2"/>
  <c r="E360" i="2"/>
  <c r="D360" i="2"/>
  <c r="E359" i="2"/>
  <c r="D359" i="2"/>
  <c r="E358" i="2"/>
  <c r="D358" i="2"/>
  <c r="E357" i="2"/>
  <c r="D357" i="2"/>
  <c r="E356" i="2"/>
  <c r="D356" i="2"/>
  <c r="E355" i="2"/>
  <c r="D355" i="2"/>
  <c r="E354" i="2"/>
  <c r="D354" i="2"/>
  <c r="E353" i="2"/>
  <c r="D353" i="2"/>
  <c r="E352" i="2"/>
  <c r="D352" i="2"/>
  <c r="E351" i="2"/>
  <c r="D351" i="2"/>
  <c r="E350" i="2"/>
  <c r="D350" i="2"/>
  <c r="E349" i="2"/>
  <c r="D349" i="2"/>
  <c r="E348" i="2"/>
  <c r="D348" i="2"/>
  <c r="E347" i="2"/>
  <c r="D347" i="2"/>
  <c r="E346" i="2"/>
  <c r="D346" i="2"/>
  <c r="E345" i="2"/>
  <c r="D345" i="2"/>
  <c r="E344" i="2"/>
  <c r="D344" i="2"/>
  <c r="E343" i="2"/>
  <c r="D343" i="2"/>
  <c r="E342" i="2"/>
  <c r="D342" i="2"/>
  <c r="E341" i="2"/>
  <c r="D341" i="2"/>
  <c r="E340" i="2"/>
  <c r="D340" i="2"/>
  <c r="E339" i="2"/>
  <c r="D339" i="2"/>
  <c r="E338" i="2"/>
  <c r="D338" i="2"/>
  <c r="E337" i="2"/>
  <c r="D337" i="2"/>
  <c r="E336" i="2"/>
  <c r="D336" i="2"/>
  <c r="E335" i="2"/>
  <c r="D335" i="2"/>
  <c r="E334" i="2"/>
  <c r="D334" i="2"/>
  <c r="E333" i="2"/>
  <c r="D333" i="2"/>
  <c r="E332" i="2"/>
  <c r="D332" i="2"/>
  <c r="E331" i="2"/>
  <c r="D331" i="2"/>
  <c r="E330" i="2"/>
  <c r="D330" i="2"/>
  <c r="E329" i="2"/>
  <c r="D329" i="2"/>
  <c r="E328" i="2"/>
  <c r="D328" i="2"/>
  <c r="E327" i="2"/>
  <c r="D327" i="2"/>
  <c r="E326" i="2"/>
  <c r="D326" i="2"/>
  <c r="E325" i="2"/>
  <c r="D325" i="2"/>
  <c r="E324" i="2"/>
  <c r="D324" i="2"/>
  <c r="E323" i="2"/>
  <c r="D323" i="2"/>
  <c r="E322" i="2"/>
  <c r="D322" i="2"/>
  <c r="E321" i="2"/>
  <c r="D321" i="2"/>
  <c r="E320" i="2"/>
  <c r="D320" i="2"/>
  <c r="E319" i="2"/>
  <c r="D319" i="2"/>
  <c r="E318" i="2"/>
  <c r="D318" i="2"/>
  <c r="E317" i="2"/>
  <c r="D317" i="2"/>
  <c r="E316" i="2"/>
  <c r="D316" i="2"/>
  <c r="E315" i="2"/>
  <c r="D315" i="2"/>
  <c r="E314" i="2"/>
  <c r="D314" i="2"/>
  <c r="E313" i="2"/>
  <c r="D313" i="2"/>
  <c r="E312" i="2"/>
  <c r="D312" i="2"/>
  <c r="E311" i="2"/>
  <c r="D311" i="2"/>
  <c r="E310" i="2"/>
  <c r="D310" i="2"/>
  <c r="E309" i="2"/>
  <c r="D309" i="2"/>
  <c r="E308" i="2"/>
  <c r="D308" i="2"/>
  <c r="E307" i="2"/>
  <c r="D307" i="2"/>
  <c r="E306" i="2"/>
  <c r="D306" i="2"/>
  <c r="E305" i="2"/>
  <c r="D305" i="2"/>
  <c r="E304" i="2"/>
  <c r="D304" i="2"/>
  <c r="E303" i="2"/>
  <c r="D303" i="2"/>
  <c r="E302" i="2"/>
  <c r="D302" i="2"/>
  <c r="E301" i="2"/>
  <c r="D301" i="2"/>
  <c r="E300" i="2"/>
  <c r="D300" i="2"/>
  <c r="E299" i="2"/>
  <c r="D299" i="2"/>
  <c r="E298" i="2"/>
  <c r="D298" i="2"/>
  <c r="E297" i="2"/>
  <c r="D297" i="2"/>
  <c r="E296" i="2"/>
  <c r="D296" i="2"/>
  <c r="E295" i="2"/>
  <c r="D295" i="2"/>
  <c r="E294" i="2"/>
  <c r="D294" i="2"/>
  <c r="E293" i="2"/>
  <c r="D293" i="2"/>
  <c r="E292" i="2"/>
  <c r="D292" i="2"/>
  <c r="E291" i="2"/>
  <c r="D291" i="2"/>
  <c r="E290" i="2"/>
  <c r="D290" i="2"/>
  <c r="E289" i="2"/>
  <c r="D289" i="2"/>
  <c r="E288" i="2"/>
  <c r="D288" i="2"/>
  <c r="E287" i="2"/>
  <c r="D287" i="2"/>
  <c r="E286" i="2"/>
  <c r="D286" i="2"/>
  <c r="E285" i="2"/>
  <c r="D285" i="2"/>
  <c r="E284" i="2"/>
  <c r="D284" i="2"/>
  <c r="E283" i="2"/>
  <c r="D283" i="2"/>
  <c r="E282" i="2"/>
  <c r="D282" i="2"/>
  <c r="E281" i="2"/>
  <c r="D281" i="2"/>
  <c r="E280" i="2"/>
  <c r="D280" i="2"/>
  <c r="E279" i="2"/>
  <c r="D279" i="2"/>
  <c r="E278" i="2"/>
  <c r="D278" i="2"/>
  <c r="E277" i="2"/>
  <c r="D277" i="2"/>
  <c r="E276" i="2"/>
  <c r="D276" i="2"/>
  <c r="E275" i="2"/>
  <c r="D275" i="2"/>
  <c r="E274" i="2"/>
  <c r="D274" i="2"/>
  <c r="E273" i="2"/>
  <c r="D273" i="2"/>
  <c r="E272" i="2"/>
  <c r="D272" i="2"/>
  <c r="E271" i="2"/>
  <c r="D271" i="2"/>
  <c r="E270" i="2"/>
  <c r="D270" i="2"/>
  <c r="E269" i="2"/>
  <c r="D269" i="2"/>
  <c r="E268" i="2"/>
  <c r="D268" i="2"/>
  <c r="E267" i="2"/>
  <c r="D267" i="2"/>
  <c r="E266" i="2"/>
  <c r="D266" i="2"/>
  <c r="E265" i="2"/>
  <c r="D265" i="2"/>
  <c r="E264" i="2"/>
  <c r="D264" i="2"/>
  <c r="E263" i="2"/>
  <c r="D263" i="2"/>
  <c r="E262" i="2"/>
  <c r="D262" i="2"/>
  <c r="E261" i="2"/>
  <c r="D261" i="2"/>
  <c r="E260" i="2"/>
  <c r="D260" i="2"/>
  <c r="E259" i="2"/>
  <c r="D259" i="2"/>
  <c r="E258" i="2"/>
  <c r="D258" i="2"/>
  <c r="E257" i="2"/>
  <c r="D257" i="2"/>
  <c r="E256" i="2"/>
  <c r="D256" i="2"/>
  <c r="E255" i="2"/>
  <c r="D255" i="2"/>
  <c r="E254" i="2"/>
  <c r="D254" i="2"/>
  <c r="E253" i="2"/>
  <c r="D253" i="2"/>
  <c r="E252" i="2"/>
  <c r="D252" i="2"/>
  <c r="E251" i="2"/>
  <c r="D251" i="2"/>
  <c r="E250" i="2"/>
  <c r="D250" i="2"/>
  <c r="E249" i="2"/>
  <c r="D249" i="2"/>
  <c r="E248" i="2"/>
  <c r="D248" i="2"/>
  <c r="E247" i="2"/>
  <c r="D247" i="2"/>
  <c r="E246" i="2"/>
  <c r="D246" i="2"/>
  <c r="E245" i="2"/>
  <c r="D245" i="2"/>
  <c r="E244" i="2"/>
  <c r="D244" i="2"/>
  <c r="E243" i="2"/>
  <c r="D243" i="2"/>
  <c r="E242" i="2"/>
  <c r="D242" i="2"/>
  <c r="E241" i="2"/>
  <c r="D241" i="2"/>
  <c r="E240" i="2"/>
  <c r="D240" i="2"/>
  <c r="E239" i="2"/>
  <c r="D239" i="2"/>
  <c r="E238" i="2"/>
  <c r="D238" i="2"/>
  <c r="E237" i="2"/>
  <c r="D237" i="2"/>
  <c r="E236" i="2"/>
  <c r="D236" i="2"/>
  <c r="E235" i="2"/>
  <c r="D235" i="2"/>
  <c r="E234" i="2"/>
  <c r="D234" i="2"/>
  <c r="E233" i="2"/>
  <c r="D233" i="2"/>
  <c r="E232" i="2"/>
  <c r="D232" i="2"/>
  <c r="E231" i="2"/>
  <c r="D231" i="2"/>
  <c r="E230" i="2"/>
  <c r="D230" i="2"/>
  <c r="E229" i="2"/>
  <c r="D229" i="2"/>
  <c r="E228" i="2"/>
  <c r="D228" i="2"/>
  <c r="E227" i="2"/>
  <c r="D227" i="2"/>
  <c r="E226" i="2"/>
  <c r="D226" i="2"/>
  <c r="E225" i="2"/>
  <c r="D225" i="2"/>
  <c r="E224" i="2"/>
  <c r="D224" i="2"/>
  <c r="E223" i="2"/>
  <c r="D223" i="2"/>
  <c r="E222" i="2"/>
  <c r="D222" i="2"/>
  <c r="E221" i="2"/>
  <c r="D221" i="2"/>
  <c r="E220" i="2"/>
  <c r="D220" i="2"/>
  <c r="E219" i="2"/>
  <c r="D219" i="2"/>
  <c r="E218" i="2"/>
  <c r="D218" i="2"/>
  <c r="E217" i="2"/>
  <c r="D217" i="2"/>
  <c r="E216" i="2"/>
  <c r="D216" i="2"/>
  <c r="E215" i="2"/>
  <c r="D215" i="2"/>
  <c r="E214" i="2"/>
  <c r="D214" i="2"/>
  <c r="E213" i="2"/>
  <c r="D213" i="2"/>
  <c r="E212" i="2"/>
  <c r="D212" i="2"/>
  <c r="E211" i="2"/>
  <c r="D211" i="2"/>
  <c r="E210" i="2"/>
  <c r="D210" i="2"/>
  <c r="E209" i="2"/>
  <c r="D209" i="2"/>
  <c r="E208" i="2"/>
  <c r="D208" i="2"/>
  <c r="E207" i="2"/>
  <c r="D207" i="2"/>
  <c r="E206" i="2"/>
  <c r="D206" i="2"/>
  <c r="E205" i="2"/>
  <c r="D205" i="2"/>
  <c r="E204" i="2"/>
  <c r="D204" i="2"/>
  <c r="E203" i="2"/>
  <c r="D203" i="2"/>
  <c r="E202" i="2"/>
  <c r="D202" i="2"/>
  <c r="E201" i="2"/>
  <c r="D201" i="2"/>
  <c r="E200" i="2"/>
  <c r="D200" i="2"/>
  <c r="E199" i="2"/>
  <c r="D199" i="2"/>
  <c r="E198" i="2"/>
  <c r="D198" i="2"/>
  <c r="E197" i="2"/>
  <c r="D197" i="2"/>
  <c r="E196" i="2"/>
  <c r="D196" i="2"/>
  <c r="E195" i="2"/>
  <c r="D195" i="2"/>
  <c r="E194" i="2"/>
  <c r="D194" i="2"/>
  <c r="E193" i="2"/>
  <c r="D193" i="2"/>
  <c r="E192" i="2"/>
  <c r="D192" i="2"/>
  <c r="E191" i="2"/>
  <c r="D191" i="2"/>
  <c r="E190" i="2"/>
  <c r="D190" i="2"/>
  <c r="E189" i="2"/>
  <c r="D189" i="2"/>
  <c r="E188" i="2"/>
  <c r="D188" i="2"/>
  <c r="E187" i="2"/>
  <c r="D187" i="2"/>
  <c r="E186" i="2"/>
  <c r="D186" i="2"/>
  <c r="E185" i="2"/>
  <c r="D185" i="2"/>
  <c r="E184" i="2"/>
  <c r="D184" i="2"/>
  <c r="E183" i="2"/>
  <c r="D183" i="2"/>
  <c r="E182" i="2"/>
  <c r="D182" i="2"/>
  <c r="E181" i="2"/>
  <c r="D181" i="2"/>
  <c r="E180" i="2"/>
  <c r="D180" i="2"/>
  <c r="E179" i="2"/>
  <c r="D179" i="2"/>
  <c r="E178" i="2"/>
  <c r="D178" i="2"/>
  <c r="E177" i="2"/>
  <c r="D177" i="2"/>
  <c r="E176" i="2"/>
  <c r="D176" i="2"/>
  <c r="E175" i="2"/>
  <c r="D175" i="2"/>
  <c r="E174" i="2"/>
  <c r="D174" i="2"/>
  <c r="E173" i="2"/>
  <c r="D173" i="2"/>
  <c r="E172" i="2"/>
  <c r="D172" i="2"/>
  <c r="E171" i="2"/>
  <c r="D171" i="2"/>
  <c r="E170" i="2"/>
  <c r="D170" i="2"/>
  <c r="E169" i="2"/>
  <c r="D169" i="2"/>
  <c r="E168" i="2"/>
  <c r="D168" i="2"/>
  <c r="E167" i="2"/>
  <c r="D167" i="2"/>
  <c r="E166" i="2"/>
  <c r="D166" i="2"/>
  <c r="E165" i="2"/>
  <c r="D165" i="2"/>
  <c r="E164" i="2"/>
  <c r="D164" i="2"/>
  <c r="E163" i="2"/>
  <c r="D163" i="2"/>
  <c r="E162" i="2"/>
  <c r="D162" i="2"/>
  <c r="E161" i="2"/>
  <c r="D161" i="2"/>
  <c r="E160" i="2"/>
  <c r="D160" i="2"/>
  <c r="E159" i="2"/>
  <c r="D159" i="2"/>
  <c r="E158" i="2"/>
  <c r="D158" i="2"/>
  <c r="E157" i="2"/>
  <c r="D157" i="2"/>
  <c r="E156" i="2"/>
  <c r="D156" i="2"/>
  <c r="E155" i="2"/>
  <c r="D155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B28" i="1"/>
  <c r="B27" i="1"/>
  <c r="F48" i="1"/>
  <c r="C27" i="1"/>
  <c r="F39" i="1"/>
  <c r="C28" i="1"/>
  <c r="I2" i="2"/>
  <c r="C33" i="1"/>
  <c r="K3" i="2"/>
  <c r="C24" i="1"/>
  <c r="C30" i="1"/>
  <c r="C29" i="1"/>
  <c r="C25" i="1"/>
  <c r="C34" i="1"/>
  <c r="C32" i="1"/>
  <c r="C26" i="1"/>
  <c r="C31" i="1"/>
  <c r="D24" i="1" l="1"/>
  <c r="I5" i="2"/>
  <c r="B29" i="1"/>
  <c r="B31" i="1" s="1"/>
  <c r="B30" i="1"/>
  <c r="B33" i="1" l="1"/>
  <c r="B32" i="1"/>
  <c r="B34" i="1" l="1"/>
  <c r="B8" i="1"/>
  <c r="B7" i="1"/>
  <c r="B12" i="1" l="1"/>
  <c r="B13" i="1" s="1"/>
  <c r="C45" i="1" s="1"/>
  <c r="B42" i="1"/>
  <c r="B41" i="1"/>
  <c r="F42" i="1"/>
  <c r="G42" i="1"/>
  <c r="F47" i="1"/>
  <c r="G47" i="1" s="1"/>
  <c r="G39" i="1"/>
  <c r="F40" i="1"/>
  <c r="F45" i="1"/>
  <c r="F46" i="1"/>
  <c r="G48" i="1"/>
  <c r="G45" i="1"/>
  <c r="F44" i="1"/>
  <c r="F41" i="1"/>
  <c r="F43" i="1"/>
  <c r="G43" i="1" s="1"/>
  <c r="C39" i="1" l="1"/>
  <c r="B43" i="1"/>
  <c r="B44" i="1"/>
  <c r="G44" i="1"/>
  <c r="G46" i="1"/>
  <c r="G40" i="1"/>
  <c r="G41" i="1"/>
  <c r="H44" i="1" l="1"/>
  <c r="D30" i="1" s="1"/>
  <c r="H42" i="1"/>
  <c r="D28" i="1" s="1"/>
  <c r="H40" i="1"/>
  <c r="D26" i="1" s="1"/>
  <c r="H43" i="1"/>
  <c r="D29" i="1" s="1"/>
  <c r="H41" i="1"/>
  <c r="D27" i="1" s="1"/>
  <c r="H39" i="1"/>
  <c r="D25" i="1" s="1"/>
  <c r="B46" i="1"/>
  <c r="C44" i="1"/>
  <c r="D44" i="1" s="1"/>
  <c r="C40" i="1"/>
  <c r="C43" i="1"/>
  <c r="C42" i="1"/>
  <c r="C41" i="1"/>
  <c r="H46" i="1" l="1"/>
  <c r="D32" i="1" s="1"/>
  <c r="H45" i="1"/>
  <c r="D31" i="1" s="1"/>
  <c r="D39" i="1"/>
  <c r="E39" i="1" s="1"/>
  <c r="E44" i="1"/>
  <c r="D42" i="1"/>
  <c r="E42" i="1" s="1"/>
  <c r="D40" i="1"/>
  <c r="E40" i="1" s="1"/>
  <c r="C46" i="1"/>
  <c r="B47" i="1"/>
  <c r="B48" i="1"/>
  <c r="D43" i="1"/>
  <c r="E43" i="1" s="1"/>
  <c r="D41" i="1"/>
  <c r="E41" i="1" s="1"/>
  <c r="D45" i="1"/>
  <c r="E45" i="1" s="1"/>
  <c r="H48" i="1" l="1"/>
  <c r="D34" i="1" s="1"/>
  <c r="H47" i="1"/>
  <c r="D33" i="1" s="1"/>
  <c r="D46" i="1"/>
  <c r="E46" i="1" s="1"/>
  <c r="C48" i="1"/>
  <c r="C47" i="1"/>
  <c r="D48" i="1" l="1"/>
  <c r="E48" i="1" s="1"/>
  <c r="D47" i="1"/>
  <c r="E47" i="1" s="1"/>
  <c r="B21" i="1" l="1"/>
</calcChain>
</file>

<file path=xl/sharedStrings.xml><?xml version="1.0" encoding="utf-8"?>
<sst xmlns="http://schemas.openxmlformats.org/spreadsheetml/2006/main" count="57" uniqueCount="45">
  <si>
    <t>Excel Support Sheet Template for Options 3 Case (Trading Volatility)</t>
  </si>
  <si>
    <t>Data from RIT</t>
  </si>
  <si>
    <t>Time Remaining (in RIT)</t>
  </si>
  <si>
    <t>&lt;-- =RTD("rit2.rtd",,"TIMEREMAINING")</t>
  </si>
  <si>
    <t>Current Stock Price</t>
  </si>
  <si>
    <t>&lt;-- =RTD("rit2.rtd",,"RTM","LAST")</t>
  </si>
  <si>
    <t>Days remaining</t>
  </si>
  <si>
    <t>Options' Time to maturity (in years)</t>
  </si>
  <si>
    <t>Risk-Free Interest Rate</t>
  </si>
  <si>
    <t>Implied Volatility</t>
  </si>
  <si>
    <t xml:space="preserve">Options </t>
  </si>
  <si>
    <t>Strike</t>
  </si>
  <si>
    <t>RTM48C</t>
  </si>
  <si>
    <t>RTM48P</t>
  </si>
  <si>
    <t>RTM49C</t>
  </si>
  <si>
    <t>RTM49P</t>
  </si>
  <si>
    <t>RTM50C</t>
  </si>
  <si>
    <t>RTM50P</t>
  </si>
  <si>
    <t>RTM51C</t>
  </si>
  <si>
    <t>RTM51P</t>
  </si>
  <si>
    <t>RTM52C</t>
  </si>
  <si>
    <t>RTM52P</t>
  </si>
  <si>
    <t>Option Last Prices
Linked to the RIT</t>
  </si>
  <si>
    <t>Theoretical Prices according to BS Model</t>
  </si>
  <si>
    <r>
      <t>d</t>
    </r>
    <r>
      <rPr>
        <b/>
        <vertAlign val="subscript"/>
        <sz val="12"/>
        <rFont val="Times New Roman"/>
        <family val="1"/>
      </rPr>
      <t>1</t>
    </r>
  </si>
  <si>
    <r>
      <t>d</t>
    </r>
    <r>
      <rPr>
        <b/>
        <vertAlign val="subscript"/>
        <sz val="12"/>
        <rFont val="Times New Roman"/>
        <family val="1"/>
      </rPr>
      <t>2</t>
    </r>
  </si>
  <si>
    <t>&lt;-- =B12/240</t>
  </si>
  <si>
    <t>&lt;-- =ROUNDUP(B7/30,0)</t>
  </si>
  <si>
    <t>Black-Scholes Option Pricing Assumptions</t>
  </si>
  <si>
    <t>Implied Volatility using last prices</t>
  </si>
  <si>
    <t>Calculation of the Portfolio's Delta</t>
  </si>
  <si>
    <t>Position</t>
  </si>
  <si>
    <t>Delta from options</t>
  </si>
  <si>
    <t>RTM</t>
  </si>
  <si>
    <t>Portfolio's Delta</t>
  </si>
  <si>
    <t>Tick</t>
  </si>
  <si>
    <t>News</t>
  </si>
  <si>
    <t>Time Elapsed</t>
  </si>
  <si>
    <t>Check</t>
  </si>
  <si>
    <t>Beginning of case?</t>
  </si>
  <si>
    <t>Limit for Delta</t>
  </si>
  <si>
    <t>1,0,W</t>
  </si>
  <si>
    <t>&lt;-- the cell to the left has to be updated once a news is received.</t>
  </si>
  <si>
    <r>
      <t>d</t>
    </r>
    <r>
      <rPr>
        <b/>
        <vertAlign val="subscript"/>
        <sz val="12"/>
        <rFont val="Times New Roman"/>
        <family val="1"/>
      </rPr>
      <t xml:space="preserve">1 </t>
    </r>
    <r>
      <rPr>
        <b/>
        <sz val="12"/>
        <rFont val="Times New Roman"/>
        <family val="1"/>
      </rPr>
      <t xml:space="preserve">calculated with implied volatility </t>
    </r>
  </si>
  <si>
    <t>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</si>
</sst>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%"/>
    <numFmt numFmtId="166" formatCode="0.000"/>
    <numFmt numFmtId="167" formatCode="_-* #,##0_-;\-* #,##0_-;_-* &quot;-&quot;??_-;_-@_-"/>
    <numFmt numFmtId="168" formatCode="0.00000000000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Times New Roman"/>
      <family val="1"/>
    </font>
    <font>
      <b/>
      <sz val="14"/>
      <color theme="1"/>
      <name val="Arial"/>
      <family val="2"/>
    </font>
    <font>
      <b/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83">
    <xf numFmtId="0" fontId="0" fillId="0" borderId="0" xfId="0"/>
    <xf numFmtId="0" fontId="3" fillId="2" borderId="0" xfId="3" applyFont="1" applyFill="1" applyAlignment="1">
      <alignment horizontal="left"/>
    </xf>
    <xf numFmtId="0" fontId="2" fillId="2" borderId="0" xfId="0" applyFont="1" applyFill="1"/>
    <xf numFmtId="0" fontId="4" fillId="2" borderId="0" xfId="0" applyFont="1" applyFill="1" applyBorder="1" applyAlignment="1" applyProtection="1">
      <alignment horizontal="left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 applyBorder="1"/>
    <xf numFmtId="44" fontId="2" fillId="2" borderId="0" xfId="1" applyFont="1" applyFill="1" applyBorder="1" applyProtection="1">
      <protection locked="0"/>
    </xf>
    <xf numFmtId="0" fontId="2" fillId="2" borderId="0" xfId="0" applyFont="1" applyFill="1" applyAlignment="1" applyProtection="1">
      <alignment horizontal="left"/>
    </xf>
    <xf numFmtId="164" fontId="2" fillId="2" borderId="0" xfId="0" applyNumberFormat="1" applyFont="1" applyFill="1" applyBorder="1" applyProtection="1">
      <protection locked="0"/>
    </xf>
    <xf numFmtId="10" fontId="2" fillId="2" borderId="0" xfId="2" applyNumberFormat="1" applyFont="1" applyFill="1" applyBorder="1" applyProtection="1">
      <protection locked="0"/>
    </xf>
    <xf numFmtId="165" fontId="2" fillId="2" borderId="0" xfId="2" applyNumberFormat="1" applyFont="1" applyFill="1" applyBorder="1" applyProtection="1">
      <protection locked="0"/>
    </xf>
    <xf numFmtId="37" fontId="2" fillId="2" borderId="0" xfId="0" applyNumberFormat="1" applyFont="1" applyFill="1" applyProtection="1"/>
    <xf numFmtId="0" fontId="4" fillId="2" borderId="7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 applyProtection="1">
      <alignment horizontal="center"/>
    </xf>
    <xf numFmtId="0" fontId="2" fillId="2" borderId="0" xfId="0" applyFont="1" applyFill="1" applyBorder="1" applyAlignment="1">
      <alignment horizontal="center"/>
    </xf>
    <xf numFmtId="2" fontId="2" fillId="2" borderId="0" xfId="1" applyNumberFormat="1" applyFont="1" applyFill="1" applyBorder="1" applyAlignment="1">
      <alignment horizontal="center"/>
    </xf>
    <xf numFmtId="0" fontId="2" fillId="4" borderId="1" xfId="0" applyFont="1" applyFill="1" applyBorder="1" applyAlignment="1" applyProtection="1">
      <alignment horizontal="center"/>
    </xf>
    <xf numFmtId="0" fontId="2" fillId="4" borderId="0" xfId="0" applyFont="1" applyFill="1" applyBorder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0" fontId="2" fillId="4" borderId="3" xfId="0" applyFont="1" applyFill="1" applyBorder="1" applyAlignment="1" applyProtection="1">
      <alignment horizontal="center"/>
    </xf>
    <xf numFmtId="0" fontId="2" fillId="4" borderId="5" xfId="0" applyFont="1" applyFill="1" applyBorder="1" applyAlignment="1">
      <alignment horizontal="center"/>
    </xf>
    <xf numFmtId="2" fontId="2" fillId="4" borderId="5" xfId="1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/>
    </xf>
    <xf numFmtId="164" fontId="2" fillId="4" borderId="0" xfId="0" applyNumberFormat="1" applyFont="1" applyFill="1" applyBorder="1" applyAlignment="1">
      <alignment horizontal="center"/>
    </xf>
    <xf numFmtId="164" fontId="2" fillId="4" borderId="5" xfId="0" applyNumberFormat="1" applyFont="1" applyFill="1" applyBorder="1" applyAlignment="1">
      <alignment horizontal="center"/>
    </xf>
    <xf numFmtId="0" fontId="2" fillId="4" borderId="1" xfId="0" applyFont="1" applyFill="1" applyBorder="1" applyAlignment="1" applyProtection="1">
      <alignment horizontal="left"/>
    </xf>
    <xf numFmtId="0" fontId="2" fillId="4" borderId="3" xfId="0" applyFont="1" applyFill="1" applyBorder="1" applyAlignment="1" applyProtection="1">
      <alignment horizontal="left"/>
    </xf>
    <xf numFmtId="44" fontId="2" fillId="4" borderId="4" xfId="1" applyFont="1" applyFill="1" applyBorder="1" applyProtection="1">
      <protection locked="0"/>
    </xf>
    <xf numFmtId="166" fontId="2" fillId="4" borderId="0" xfId="1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/>
    <xf numFmtId="0" fontId="4" fillId="3" borderId="7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164" fontId="4" fillId="2" borderId="6" xfId="0" applyNumberFormat="1" applyFont="1" applyFill="1" applyBorder="1" applyAlignment="1">
      <alignment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67" fontId="4" fillId="2" borderId="6" xfId="4" applyNumberFormat="1" applyFont="1" applyFill="1" applyBorder="1" applyAlignment="1">
      <alignment horizontal="left" vertical="center"/>
    </xf>
    <xf numFmtId="43" fontId="2" fillId="4" borderId="0" xfId="4" applyFont="1" applyFill="1" applyBorder="1" applyAlignment="1">
      <alignment horizontal="center" vertical="center"/>
    </xf>
    <xf numFmtId="43" fontId="2" fillId="4" borderId="2" xfId="4" applyFont="1" applyFill="1" applyBorder="1" applyAlignment="1">
      <alignment horizontal="center" vertical="center"/>
    </xf>
    <xf numFmtId="43" fontId="2" fillId="2" borderId="0" xfId="4" applyFont="1" applyFill="1" applyBorder="1" applyAlignment="1">
      <alignment horizontal="center" vertical="center"/>
    </xf>
    <xf numFmtId="43" fontId="2" fillId="2" borderId="2" xfId="4" applyFont="1" applyFill="1" applyBorder="1" applyAlignment="1">
      <alignment horizontal="center" vertical="center"/>
    </xf>
    <xf numFmtId="43" fontId="2" fillId="4" borderId="5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43" fontId="6" fillId="2" borderId="8" xfId="4" applyFont="1" applyFill="1" applyBorder="1" applyAlignment="1">
      <alignment horizontal="left" vertical="center"/>
    </xf>
    <xf numFmtId="164" fontId="2" fillId="2" borderId="2" xfId="2" applyNumberFormat="1" applyFont="1" applyFill="1" applyBorder="1" applyAlignment="1">
      <alignment horizontal="center"/>
    </xf>
    <xf numFmtId="164" fontId="2" fillId="4" borderId="2" xfId="2" applyNumberFormat="1" applyFont="1" applyFill="1" applyBorder="1" applyAlignment="1">
      <alignment horizontal="center"/>
    </xf>
    <xf numFmtId="164" fontId="2" fillId="4" borderId="4" xfId="2" applyNumberFormat="1" applyFont="1" applyFill="1" applyBorder="1" applyAlignment="1">
      <alignment horizontal="center"/>
    </xf>
    <xf numFmtId="166" fontId="2" fillId="2" borderId="2" xfId="0" applyNumberFormat="1" applyFont="1" applyFill="1" applyBorder="1"/>
    <xf numFmtId="166" fontId="2" fillId="4" borderId="2" xfId="0" applyNumberFormat="1" applyFont="1" applyFill="1" applyBorder="1" applyProtection="1">
      <protection locked="0"/>
    </xf>
    <xf numFmtId="10" fontId="2" fillId="4" borderId="4" xfId="2" applyNumberFormat="1" applyFont="1" applyFill="1" applyBorder="1" applyProtection="1">
      <protection locked="0"/>
    </xf>
    <xf numFmtId="10" fontId="2" fillId="2" borderId="0" xfId="2" applyNumberFormat="1" applyFont="1" applyFill="1" applyBorder="1" applyAlignment="1">
      <alignment horizontal="center"/>
    </xf>
    <xf numFmtId="10" fontId="2" fillId="4" borderId="0" xfId="2" applyNumberFormat="1" applyFont="1" applyFill="1" applyBorder="1" applyAlignment="1">
      <alignment horizontal="center"/>
    </xf>
    <xf numFmtId="10" fontId="2" fillId="4" borderId="5" xfId="2" applyNumberFormat="1" applyFont="1" applyFill="1" applyBorder="1" applyAlignment="1">
      <alignment horizontal="center"/>
    </xf>
    <xf numFmtId="168" fontId="2" fillId="2" borderId="0" xfId="0" applyNumberFormat="1" applyFont="1" applyFill="1" applyAlignment="1">
      <alignment horizontal="center" vertical="center"/>
    </xf>
    <xf numFmtId="0" fontId="2" fillId="2" borderId="9" xfId="0" applyFont="1" applyFill="1" applyBorder="1"/>
    <xf numFmtId="166" fontId="2" fillId="2" borderId="10" xfId="0" applyNumberFormat="1" applyFont="1" applyFill="1" applyBorder="1"/>
    <xf numFmtId="10" fontId="2" fillId="2" borderId="0" xfId="2" applyNumberFormat="1" applyFont="1" applyFill="1" applyBorder="1"/>
    <xf numFmtId="0" fontId="2" fillId="2" borderId="2" xfId="4" applyNumberFormat="1" applyFont="1" applyFill="1" applyBorder="1" applyAlignment="1">
      <alignment horizontal="center" vertical="center"/>
    </xf>
    <xf numFmtId="0" fontId="2" fillId="4" borderId="2" xfId="4" applyNumberFormat="1" applyFont="1" applyFill="1" applyBorder="1" applyAlignment="1">
      <alignment horizontal="center" vertical="center"/>
    </xf>
    <xf numFmtId="0" fontId="2" fillId="4" borderId="4" xfId="4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 applyProtection="1">
      <alignment horizontal="left"/>
    </xf>
    <xf numFmtId="0" fontId="4" fillId="3" borderId="8" xfId="0" applyFont="1" applyFill="1" applyBorder="1" applyAlignment="1" applyProtection="1">
      <alignment horizontal="left"/>
    </xf>
    <xf numFmtId="0" fontId="4" fillId="3" borderId="9" xfId="0" applyFont="1" applyFill="1" applyBorder="1" applyAlignment="1" applyProtection="1">
      <alignment horizontal="left"/>
    </xf>
    <xf numFmtId="0" fontId="4" fillId="3" borderId="10" xfId="0" applyFont="1" applyFill="1" applyBorder="1" applyAlignment="1" applyProtection="1">
      <alignment horizontal="left"/>
    </xf>
    <xf numFmtId="165" fontId="2" fillId="3" borderId="6" xfId="2" applyNumberFormat="1" applyFont="1" applyFill="1" applyBorder="1" applyAlignment="1" applyProtection="1">
      <alignment horizontal="center" vertical="center" wrapText="1"/>
      <protection locked="0"/>
    </xf>
    <xf numFmtId="165" fontId="2" fillId="3" borderId="8" xfId="2" applyNumberFormat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5">
    <cellStyle name="Comma" xfId="4" builtinId="3"/>
    <cellStyle name="Currency" xfId="1" builtinId="4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 t="s">
        <v>RTM|POSITION</v>
        <stp/>
        <stp>RTM</stp>
        <stp>POSITION</stp>
        <tr r="C24" s="1"/>
      </tp>
      <tp t="s">
        <v>TIMEREMAINING</v>
        <stp/>
        <stp>TIMEREMAINING</stp>
        <tr r="B7" s="1"/>
        <tr r="K3" s="2"/>
      </tp>
      <tp t="s">
        <v>LATESTNEWS|1</v>
        <stp/>
        <stp>LATESTNEWS</stp>
        <stp>1</stp>
        <tr r="I2" s="2"/>
      </tp>
      <tp t="s">
        <v>RTM52P|LAST</v>
        <stp/>
        <stp>RTM52P</stp>
        <stp>LAST</stp>
        <tr r="F48" s="1"/>
      </tp>
      <tp t="s">
        <v>RTM52C|LAST</v>
        <stp/>
        <stp>RTM52C</stp>
        <stp>LAST</stp>
        <tr r="F47" s="1"/>
      </tp>
      <tp t="s">
        <v>RTM51P|LAST</v>
        <stp/>
        <stp>RTM51P</stp>
        <stp>LAST</stp>
        <tr r="F46" s="1"/>
      </tp>
      <tp t="s">
        <v>RTM51C|LAST</v>
        <stp/>
        <stp>RTM51C</stp>
        <stp>LAST</stp>
        <tr r="F45" s="1"/>
      </tp>
      <tp t="s">
        <v>RTM50P|LAST</v>
        <stp/>
        <stp>RTM50P</stp>
        <stp>LAST</stp>
        <tr r="F44" s="1"/>
      </tp>
      <tp t="s">
        <v>RTM50C|LAST</v>
        <stp/>
        <stp>RTM50C</stp>
        <stp>LAST</stp>
        <tr r="F43" s="1"/>
      </tp>
      <tp t="s">
        <v>RTM49P|LAST</v>
        <stp/>
        <stp>RTM49P</stp>
        <stp>LAST</stp>
        <tr r="F42" s="1"/>
      </tp>
      <tp t="s">
        <v>RTM49C|LAST</v>
        <stp/>
        <stp>RTM49C</stp>
        <stp>LAST</stp>
        <tr r="F41" s="1"/>
      </tp>
      <tp t="s">
        <v>RTM48P|LAST</v>
        <stp/>
        <stp>RTM48P</stp>
        <stp>LAST</stp>
        <tr r="F40" s="1"/>
      </tp>
      <tp t="s">
        <v>RTM48C|LAST</v>
        <stp/>
        <stp>RTM48C</stp>
        <stp>LAST</stp>
        <tr r="F39" s="1"/>
      </tp>
      <tp t="s">
        <v>RTM|LAST</v>
        <stp/>
        <stp>RTM</stp>
        <stp>LAST</stp>
        <tr r="B8" s="1"/>
      </tp>
      <tp t="s">
        <v>RTM50P|POSITION</v>
        <stp/>
        <stp>RTM50P</stp>
        <stp>POSITION</stp>
        <tr r="C30" s="1"/>
      </tp>
      <tp t="s">
        <v>RTM50C|POSITION</v>
        <stp/>
        <stp>RTM50C</stp>
        <stp>POSITION</stp>
        <tr r="C29" s="1"/>
      </tp>
      <tp t="s">
        <v>RTM51P|POSITION</v>
        <stp/>
        <stp>RTM51P</stp>
        <stp>POSITION</stp>
        <tr r="C32" s="1"/>
      </tp>
      <tp t="s">
        <v>RTM51C|POSITION</v>
        <stp/>
        <stp>RTM51C</stp>
        <stp>POSITION</stp>
        <tr r="C31" s="1"/>
      </tp>
      <tp t="s">
        <v>RTM52P|POSITION</v>
        <stp/>
        <stp>RTM52P</stp>
        <stp>POSITION</stp>
        <tr r="C34" s="1"/>
      </tp>
      <tp t="s">
        <v>RTM52C|POSITION</v>
        <stp/>
        <stp>RTM52C</stp>
        <stp>POSITION</stp>
        <tr r="C33" s="1"/>
      </tp>
      <tp t="s">
        <v>RTM48P|POSITION</v>
        <stp/>
        <stp>RTM48P</stp>
        <stp>POSITION</stp>
        <tr r="C26" s="1"/>
      </tp>
      <tp t="s">
        <v>RTM48C|POSITION</v>
        <stp/>
        <stp>RTM48C</stp>
        <stp>POSITION</stp>
        <tr r="C25" s="1"/>
      </tp>
      <tp t="s">
        <v>RTM49P|POSITION</v>
        <stp/>
        <stp>RTM49P</stp>
        <stp>POSITION</stp>
        <tr r="C28" s="1"/>
      </tp>
      <tp t="s">
        <v>RTM49C|POSITION</v>
        <stp/>
        <stp>RTM49C</stp>
        <stp>POSITION</stp>
        <tr r="C2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upper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'Chart Data'!$D$2:$D$601</c:f>
              <c:numCache>
                <c:formatCode>General</c:formatCode>
                <c:ptCount val="600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  <c:pt idx="12">
                  <c:v>7000</c:v>
                </c:pt>
                <c:pt idx="13">
                  <c:v>7000</c:v>
                </c:pt>
                <c:pt idx="14">
                  <c:v>7000</c:v>
                </c:pt>
                <c:pt idx="15">
                  <c:v>7000</c:v>
                </c:pt>
                <c:pt idx="16">
                  <c:v>7000</c:v>
                </c:pt>
                <c:pt idx="17">
                  <c:v>7000</c:v>
                </c:pt>
                <c:pt idx="18">
                  <c:v>7000</c:v>
                </c:pt>
                <c:pt idx="19">
                  <c:v>7000</c:v>
                </c:pt>
                <c:pt idx="20">
                  <c:v>7000</c:v>
                </c:pt>
                <c:pt idx="21">
                  <c:v>7000</c:v>
                </c:pt>
                <c:pt idx="22">
                  <c:v>7000</c:v>
                </c:pt>
                <c:pt idx="23">
                  <c:v>7000</c:v>
                </c:pt>
                <c:pt idx="24">
                  <c:v>7000</c:v>
                </c:pt>
                <c:pt idx="25">
                  <c:v>7000</c:v>
                </c:pt>
                <c:pt idx="26">
                  <c:v>7000</c:v>
                </c:pt>
                <c:pt idx="27">
                  <c:v>7000</c:v>
                </c:pt>
                <c:pt idx="28">
                  <c:v>7000</c:v>
                </c:pt>
                <c:pt idx="29">
                  <c:v>7000</c:v>
                </c:pt>
                <c:pt idx="30">
                  <c:v>7000</c:v>
                </c:pt>
                <c:pt idx="31">
                  <c:v>7000</c:v>
                </c:pt>
                <c:pt idx="32">
                  <c:v>7000</c:v>
                </c:pt>
                <c:pt idx="33">
                  <c:v>7000</c:v>
                </c:pt>
                <c:pt idx="34">
                  <c:v>7000</c:v>
                </c:pt>
                <c:pt idx="35">
                  <c:v>7000</c:v>
                </c:pt>
                <c:pt idx="36">
                  <c:v>7000</c:v>
                </c:pt>
                <c:pt idx="37">
                  <c:v>7000</c:v>
                </c:pt>
                <c:pt idx="38">
                  <c:v>7000</c:v>
                </c:pt>
                <c:pt idx="39">
                  <c:v>7000</c:v>
                </c:pt>
                <c:pt idx="40">
                  <c:v>7000</c:v>
                </c:pt>
                <c:pt idx="41">
                  <c:v>7000</c:v>
                </c:pt>
                <c:pt idx="42">
                  <c:v>7000</c:v>
                </c:pt>
                <c:pt idx="43">
                  <c:v>7000</c:v>
                </c:pt>
                <c:pt idx="44">
                  <c:v>7000</c:v>
                </c:pt>
                <c:pt idx="45">
                  <c:v>7000</c:v>
                </c:pt>
                <c:pt idx="46">
                  <c:v>7000</c:v>
                </c:pt>
                <c:pt idx="47">
                  <c:v>7000</c:v>
                </c:pt>
                <c:pt idx="48">
                  <c:v>7000</c:v>
                </c:pt>
                <c:pt idx="49">
                  <c:v>7000</c:v>
                </c:pt>
                <c:pt idx="50">
                  <c:v>7000</c:v>
                </c:pt>
                <c:pt idx="51">
                  <c:v>7000</c:v>
                </c:pt>
                <c:pt idx="52">
                  <c:v>7000</c:v>
                </c:pt>
                <c:pt idx="53">
                  <c:v>7000</c:v>
                </c:pt>
                <c:pt idx="54">
                  <c:v>7000</c:v>
                </c:pt>
                <c:pt idx="55">
                  <c:v>7000</c:v>
                </c:pt>
                <c:pt idx="56">
                  <c:v>7000</c:v>
                </c:pt>
                <c:pt idx="57">
                  <c:v>7000</c:v>
                </c:pt>
                <c:pt idx="58">
                  <c:v>7000</c:v>
                </c:pt>
                <c:pt idx="59">
                  <c:v>7000</c:v>
                </c:pt>
                <c:pt idx="60">
                  <c:v>7000</c:v>
                </c:pt>
                <c:pt idx="61">
                  <c:v>7000</c:v>
                </c:pt>
                <c:pt idx="62">
                  <c:v>7000</c:v>
                </c:pt>
                <c:pt idx="63">
                  <c:v>7000</c:v>
                </c:pt>
                <c:pt idx="64">
                  <c:v>7000</c:v>
                </c:pt>
                <c:pt idx="65">
                  <c:v>7000</c:v>
                </c:pt>
                <c:pt idx="66">
                  <c:v>7000</c:v>
                </c:pt>
                <c:pt idx="67">
                  <c:v>7000</c:v>
                </c:pt>
                <c:pt idx="68">
                  <c:v>7000</c:v>
                </c:pt>
                <c:pt idx="69">
                  <c:v>7000</c:v>
                </c:pt>
                <c:pt idx="70">
                  <c:v>7000</c:v>
                </c:pt>
                <c:pt idx="71">
                  <c:v>7000</c:v>
                </c:pt>
                <c:pt idx="72">
                  <c:v>7000</c:v>
                </c:pt>
                <c:pt idx="73">
                  <c:v>7000</c:v>
                </c:pt>
                <c:pt idx="74">
                  <c:v>7000</c:v>
                </c:pt>
                <c:pt idx="75">
                  <c:v>7000</c:v>
                </c:pt>
                <c:pt idx="76">
                  <c:v>7000</c:v>
                </c:pt>
                <c:pt idx="77">
                  <c:v>7000</c:v>
                </c:pt>
                <c:pt idx="78">
                  <c:v>7000</c:v>
                </c:pt>
                <c:pt idx="79">
                  <c:v>7000</c:v>
                </c:pt>
                <c:pt idx="80">
                  <c:v>7000</c:v>
                </c:pt>
                <c:pt idx="81">
                  <c:v>7000</c:v>
                </c:pt>
                <c:pt idx="82">
                  <c:v>7000</c:v>
                </c:pt>
                <c:pt idx="83">
                  <c:v>7000</c:v>
                </c:pt>
                <c:pt idx="84">
                  <c:v>7000</c:v>
                </c:pt>
                <c:pt idx="85">
                  <c:v>7000</c:v>
                </c:pt>
                <c:pt idx="86">
                  <c:v>7000</c:v>
                </c:pt>
                <c:pt idx="87">
                  <c:v>7000</c:v>
                </c:pt>
                <c:pt idx="88">
                  <c:v>7000</c:v>
                </c:pt>
                <c:pt idx="89">
                  <c:v>7000</c:v>
                </c:pt>
                <c:pt idx="90">
                  <c:v>7000</c:v>
                </c:pt>
                <c:pt idx="91">
                  <c:v>7000</c:v>
                </c:pt>
                <c:pt idx="92">
                  <c:v>7000</c:v>
                </c:pt>
                <c:pt idx="93">
                  <c:v>7000</c:v>
                </c:pt>
                <c:pt idx="94">
                  <c:v>7000</c:v>
                </c:pt>
                <c:pt idx="95">
                  <c:v>7000</c:v>
                </c:pt>
                <c:pt idx="96">
                  <c:v>7000</c:v>
                </c:pt>
                <c:pt idx="97">
                  <c:v>7000</c:v>
                </c:pt>
                <c:pt idx="98">
                  <c:v>7000</c:v>
                </c:pt>
                <c:pt idx="99">
                  <c:v>7000</c:v>
                </c:pt>
                <c:pt idx="100">
                  <c:v>7000</c:v>
                </c:pt>
                <c:pt idx="101">
                  <c:v>7000</c:v>
                </c:pt>
                <c:pt idx="102">
                  <c:v>7000</c:v>
                </c:pt>
                <c:pt idx="103">
                  <c:v>7000</c:v>
                </c:pt>
                <c:pt idx="104">
                  <c:v>7000</c:v>
                </c:pt>
                <c:pt idx="105">
                  <c:v>7000</c:v>
                </c:pt>
                <c:pt idx="106">
                  <c:v>7000</c:v>
                </c:pt>
                <c:pt idx="107">
                  <c:v>7000</c:v>
                </c:pt>
                <c:pt idx="108">
                  <c:v>7000</c:v>
                </c:pt>
                <c:pt idx="109">
                  <c:v>7000</c:v>
                </c:pt>
                <c:pt idx="110">
                  <c:v>7000</c:v>
                </c:pt>
                <c:pt idx="111">
                  <c:v>7000</c:v>
                </c:pt>
                <c:pt idx="112">
                  <c:v>7000</c:v>
                </c:pt>
                <c:pt idx="113">
                  <c:v>7000</c:v>
                </c:pt>
                <c:pt idx="114">
                  <c:v>7000</c:v>
                </c:pt>
                <c:pt idx="115">
                  <c:v>7000</c:v>
                </c:pt>
                <c:pt idx="116">
                  <c:v>7000</c:v>
                </c:pt>
                <c:pt idx="117">
                  <c:v>7000</c:v>
                </c:pt>
                <c:pt idx="118">
                  <c:v>7000</c:v>
                </c:pt>
                <c:pt idx="119">
                  <c:v>7000</c:v>
                </c:pt>
                <c:pt idx="120">
                  <c:v>7000</c:v>
                </c:pt>
                <c:pt idx="121">
                  <c:v>7000</c:v>
                </c:pt>
                <c:pt idx="122">
                  <c:v>7000</c:v>
                </c:pt>
                <c:pt idx="123">
                  <c:v>7000</c:v>
                </c:pt>
                <c:pt idx="124">
                  <c:v>7000</c:v>
                </c:pt>
                <c:pt idx="125">
                  <c:v>7000</c:v>
                </c:pt>
                <c:pt idx="126">
                  <c:v>7000</c:v>
                </c:pt>
                <c:pt idx="127">
                  <c:v>7000</c:v>
                </c:pt>
                <c:pt idx="128">
                  <c:v>7000</c:v>
                </c:pt>
                <c:pt idx="129">
                  <c:v>7000</c:v>
                </c:pt>
                <c:pt idx="130">
                  <c:v>7000</c:v>
                </c:pt>
                <c:pt idx="131">
                  <c:v>7000</c:v>
                </c:pt>
                <c:pt idx="132">
                  <c:v>7000</c:v>
                </c:pt>
                <c:pt idx="133">
                  <c:v>7000</c:v>
                </c:pt>
                <c:pt idx="134">
                  <c:v>7000</c:v>
                </c:pt>
                <c:pt idx="135">
                  <c:v>7000</c:v>
                </c:pt>
                <c:pt idx="136">
                  <c:v>7000</c:v>
                </c:pt>
                <c:pt idx="137">
                  <c:v>7000</c:v>
                </c:pt>
                <c:pt idx="138">
                  <c:v>7000</c:v>
                </c:pt>
                <c:pt idx="139">
                  <c:v>7000</c:v>
                </c:pt>
                <c:pt idx="140">
                  <c:v>7000</c:v>
                </c:pt>
                <c:pt idx="141">
                  <c:v>7000</c:v>
                </c:pt>
                <c:pt idx="142">
                  <c:v>7000</c:v>
                </c:pt>
                <c:pt idx="143">
                  <c:v>7000</c:v>
                </c:pt>
                <c:pt idx="144">
                  <c:v>7000</c:v>
                </c:pt>
                <c:pt idx="145">
                  <c:v>7000</c:v>
                </c:pt>
                <c:pt idx="146">
                  <c:v>7000</c:v>
                </c:pt>
                <c:pt idx="147">
                  <c:v>7000</c:v>
                </c:pt>
                <c:pt idx="148">
                  <c:v>7000</c:v>
                </c:pt>
                <c:pt idx="149">
                  <c:v>7000</c:v>
                </c:pt>
                <c:pt idx="150">
                  <c:v>7000</c:v>
                </c:pt>
                <c:pt idx="151">
                  <c:v>7000</c:v>
                </c:pt>
                <c:pt idx="152">
                  <c:v>7000</c:v>
                </c:pt>
                <c:pt idx="153">
                  <c:v>7000</c:v>
                </c:pt>
                <c:pt idx="154">
                  <c:v>7000</c:v>
                </c:pt>
                <c:pt idx="155">
                  <c:v>7000</c:v>
                </c:pt>
                <c:pt idx="156">
                  <c:v>7000</c:v>
                </c:pt>
                <c:pt idx="157">
                  <c:v>7000</c:v>
                </c:pt>
                <c:pt idx="158">
                  <c:v>7000</c:v>
                </c:pt>
                <c:pt idx="159">
                  <c:v>7000</c:v>
                </c:pt>
                <c:pt idx="160">
                  <c:v>7000</c:v>
                </c:pt>
                <c:pt idx="161">
                  <c:v>7000</c:v>
                </c:pt>
                <c:pt idx="162">
                  <c:v>7000</c:v>
                </c:pt>
                <c:pt idx="163">
                  <c:v>7000</c:v>
                </c:pt>
                <c:pt idx="164">
                  <c:v>7000</c:v>
                </c:pt>
                <c:pt idx="165">
                  <c:v>7000</c:v>
                </c:pt>
                <c:pt idx="166">
                  <c:v>7000</c:v>
                </c:pt>
                <c:pt idx="167">
                  <c:v>7000</c:v>
                </c:pt>
                <c:pt idx="168">
                  <c:v>7000</c:v>
                </c:pt>
                <c:pt idx="169">
                  <c:v>7000</c:v>
                </c:pt>
                <c:pt idx="170">
                  <c:v>7000</c:v>
                </c:pt>
                <c:pt idx="171">
                  <c:v>7000</c:v>
                </c:pt>
                <c:pt idx="172">
                  <c:v>7000</c:v>
                </c:pt>
                <c:pt idx="173">
                  <c:v>7000</c:v>
                </c:pt>
                <c:pt idx="174">
                  <c:v>7000</c:v>
                </c:pt>
                <c:pt idx="175">
                  <c:v>7000</c:v>
                </c:pt>
                <c:pt idx="176">
                  <c:v>7000</c:v>
                </c:pt>
                <c:pt idx="177">
                  <c:v>7000</c:v>
                </c:pt>
                <c:pt idx="178">
                  <c:v>7000</c:v>
                </c:pt>
                <c:pt idx="179">
                  <c:v>7000</c:v>
                </c:pt>
                <c:pt idx="180">
                  <c:v>7000</c:v>
                </c:pt>
                <c:pt idx="181">
                  <c:v>7000</c:v>
                </c:pt>
                <c:pt idx="182">
                  <c:v>7000</c:v>
                </c:pt>
                <c:pt idx="183">
                  <c:v>7000</c:v>
                </c:pt>
                <c:pt idx="184">
                  <c:v>7000</c:v>
                </c:pt>
                <c:pt idx="185">
                  <c:v>7000</c:v>
                </c:pt>
                <c:pt idx="186">
                  <c:v>7000</c:v>
                </c:pt>
                <c:pt idx="187">
                  <c:v>7000</c:v>
                </c:pt>
                <c:pt idx="188">
                  <c:v>7000</c:v>
                </c:pt>
                <c:pt idx="189">
                  <c:v>7000</c:v>
                </c:pt>
                <c:pt idx="190">
                  <c:v>7000</c:v>
                </c:pt>
                <c:pt idx="191">
                  <c:v>7000</c:v>
                </c:pt>
                <c:pt idx="192">
                  <c:v>7000</c:v>
                </c:pt>
                <c:pt idx="193">
                  <c:v>7000</c:v>
                </c:pt>
                <c:pt idx="194">
                  <c:v>7000</c:v>
                </c:pt>
                <c:pt idx="195">
                  <c:v>7000</c:v>
                </c:pt>
                <c:pt idx="196">
                  <c:v>7000</c:v>
                </c:pt>
                <c:pt idx="197">
                  <c:v>7000</c:v>
                </c:pt>
                <c:pt idx="198">
                  <c:v>7000</c:v>
                </c:pt>
                <c:pt idx="199">
                  <c:v>7000</c:v>
                </c:pt>
                <c:pt idx="200">
                  <c:v>7000</c:v>
                </c:pt>
                <c:pt idx="201">
                  <c:v>7000</c:v>
                </c:pt>
                <c:pt idx="202">
                  <c:v>7000</c:v>
                </c:pt>
                <c:pt idx="203">
                  <c:v>7000</c:v>
                </c:pt>
                <c:pt idx="204">
                  <c:v>7000</c:v>
                </c:pt>
                <c:pt idx="205">
                  <c:v>7000</c:v>
                </c:pt>
                <c:pt idx="206">
                  <c:v>7000</c:v>
                </c:pt>
                <c:pt idx="207">
                  <c:v>7000</c:v>
                </c:pt>
                <c:pt idx="208">
                  <c:v>7000</c:v>
                </c:pt>
                <c:pt idx="209">
                  <c:v>7000</c:v>
                </c:pt>
                <c:pt idx="210">
                  <c:v>7000</c:v>
                </c:pt>
                <c:pt idx="211">
                  <c:v>7000</c:v>
                </c:pt>
                <c:pt idx="212">
                  <c:v>7000</c:v>
                </c:pt>
                <c:pt idx="213">
                  <c:v>7000</c:v>
                </c:pt>
                <c:pt idx="214">
                  <c:v>7000</c:v>
                </c:pt>
                <c:pt idx="215">
                  <c:v>7000</c:v>
                </c:pt>
                <c:pt idx="216">
                  <c:v>7000</c:v>
                </c:pt>
                <c:pt idx="217">
                  <c:v>7000</c:v>
                </c:pt>
                <c:pt idx="218">
                  <c:v>7000</c:v>
                </c:pt>
                <c:pt idx="219">
                  <c:v>7000</c:v>
                </c:pt>
                <c:pt idx="220">
                  <c:v>7000</c:v>
                </c:pt>
                <c:pt idx="221">
                  <c:v>7000</c:v>
                </c:pt>
                <c:pt idx="222">
                  <c:v>7000</c:v>
                </c:pt>
                <c:pt idx="223">
                  <c:v>7000</c:v>
                </c:pt>
                <c:pt idx="224">
                  <c:v>7000</c:v>
                </c:pt>
                <c:pt idx="225">
                  <c:v>7000</c:v>
                </c:pt>
                <c:pt idx="226">
                  <c:v>7000</c:v>
                </c:pt>
                <c:pt idx="227">
                  <c:v>7000</c:v>
                </c:pt>
                <c:pt idx="228">
                  <c:v>7000</c:v>
                </c:pt>
                <c:pt idx="229">
                  <c:v>7000</c:v>
                </c:pt>
                <c:pt idx="230">
                  <c:v>7000</c:v>
                </c:pt>
                <c:pt idx="231">
                  <c:v>7000</c:v>
                </c:pt>
                <c:pt idx="232">
                  <c:v>7000</c:v>
                </c:pt>
                <c:pt idx="233">
                  <c:v>7000</c:v>
                </c:pt>
                <c:pt idx="234">
                  <c:v>7000</c:v>
                </c:pt>
                <c:pt idx="235">
                  <c:v>7000</c:v>
                </c:pt>
                <c:pt idx="236">
                  <c:v>7000</c:v>
                </c:pt>
                <c:pt idx="237">
                  <c:v>7000</c:v>
                </c:pt>
                <c:pt idx="238">
                  <c:v>7000</c:v>
                </c:pt>
                <c:pt idx="239">
                  <c:v>7000</c:v>
                </c:pt>
                <c:pt idx="240">
                  <c:v>7000</c:v>
                </c:pt>
                <c:pt idx="241">
                  <c:v>7000</c:v>
                </c:pt>
                <c:pt idx="242">
                  <c:v>7000</c:v>
                </c:pt>
                <c:pt idx="243">
                  <c:v>7000</c:v>
                </c:pt>
                <c:pt idx="244">
                  <c:v>7000</c:v>
                </c:pt>
                <c:pt idx="245">
                  <c:v>7000</c:v>
                </c:pt>
                <c:pt idx="246">
                  <c:v>7000</c:v>
                </c:pt>
                <c:pt idx="247">
                  <c:v>7000</c:v>
                </c:pt>
                <c:pt idx="248">
                  <c:v>7000</c:v>
                </c:pt>
                <c:pt idx="249">
                  <c:v>7000</c:v>
                </c:pt>
                <c:pt idx="250">
                  <c:v>7000</c:v>
                </c:pt>
                <c:pt idx="251">
                  <c:v>7000</c:v>
                </c:pt>
                <c:pt idx="252">
                  <c:v>7000</c:v>
                </c:pt>
                <c:pt idx="253">
                  <c:v>7000</c:v>
                </c:pt>
                <c:pt idx="254">
                  <c:v>7000</c:v>
                </c:pt>
                <c:pt idx="255">
                  <c:v>7000</c:v>
                </c:pt>
                <c:pt idx="256">
                  <c:v>7000</c:v>
                </c:pt>
                <c:pt idx="257">
                  <c:v>7000</c:v>
                </c:pt>
                <c:pt idx="258">
                  <c:v>7000</c:v>
                </c:pt>
                <c:pt idx="259">
                  <c:v>7000</c:v>
                </c:pt>
                <c:pt idx="260">
                  <c:v>7000</c:v>
                </c:pt>
                <c:pt idx="261">
                  <c:v>7000</c:v>
                </c:pt>
                <c:pt idx="262">
                  <c:v>7000</c:v>
                </c:pt>
                <c:pt idx="263">
                  <c:v>7000</c:v>
                </c:pt>
                <c:pt idx="264">
                  <c:v>7000</c:v>
                </c:pt>
                <c:pt idx="265">
                  <c:v>7000</c:v>
                </c:pt>
                <c:pt idx="266">
                  <c:v>7000</c:v>
                </c:pt>
                <c:pt idx="267">
                  <c:v>7000</c:v>
                </c:pt>
                <c:pt idx="268">
                  <c:v>7000</c:v>
                </c:pt>
                <c:pt idx="269">
                  <c:v>7000</c:v>
                </c:pt>
                <c:pt idx="270">
                  <c:v>7000</c:v>
                </c:pt>
                <c:pt idx="271">
                  <c:v>7000</c:v>
                </c:pt>
                <c:pt idx="272">
                  <c:v>7000</c:v>
                </c:pt>
                <c:pt idx="273">
                  <c:v>7000</c:v>
                </c:pt>
                <c:pt idx="274">
                  <c:v>7000</c:v>
                </c:pt>
                <c:pt idx="275">
                  <c:v>7000</c:v>
                </c:pt>
                <c:pt idx="276">
                  <c:v>7000</c:v>
                </c:pt>
                <c:pt idx="277">
                  <c:v>7000</c:v>
                </c:pt>
                <c:pt idx="278">
                  <c:v>7000</c:v>
                </c:pt>
                <c:pt idx="279">
                  <c:v>7000</c:v>
                </c:pt>
                <c:pt idx="280">
                  <c:v>7000</c:v>
                </c:pt>
                <c:pt idx="281">
                  <c:v>7000</c:v>
                </c:pt>
                <c:pt idx="282">
                  <c:v>7000</c:v>
                </c:pt>
                <c:pt idx="283">
                  <c:v>7000</c:v>
                </c:pt>
                <c:pt idx="284">
                  <c:v>7000</c:v>
                </c:pt>
                <c:pt idx="285">
                  <c:v>7000</c:v>
                </c:pt>
                <c:pt idx="286">
                  <c:v>7000</c:v>
                </c:pt>
                <c:pt idx="287">
                  <c:v>7000</c:v>
                </c:pt>
                <c:pt idx="288">
                  <c:v>7000</c:v>
                </c:pt>
                <c:pt idx="289">
                  <c:v>7000</c:v>
                </c:pt>
                <c:pt idx="290">
                  <c:v>7000</c:v>
                </c:pt>
                <c:pt idx="291">
                  <c:v>7000</c:v>
                </c:pt>
                <c:pt idx="292">
                  <c:v>7000</c:v>
                </c:pt>
                <c:pt idx="293">
                  <c:v>7000</c:v>
                </c:pt>
                <c:pt idx="294">
                  <c:v>7000</c:v>
                </c:pt>
                <c:pt idx="295">
                  <c:v>7000</c:v>
                </c:pt>
                <c:pt idx="296">
                  <c:v>7000</c:v>
                </c:pt>
                <c:pt idx="297">
                  <c:v>7000</c:v>
                </c:pt>
                <c:pt idx="298">
                  <c:v>7000</c:v>
                </c:pt>
                <c:pt idx="299">
                  <c:v>7000</c:v>
                </c:pt>
                <c:pt idx="300">
                  <c:v>7000</c:v>
                </c:pt>
                <c:pt idx="301">
                  <c:v>7000</c:v>
                </c:pt>
                <c:pt idx="302">
                  <c:v>7000</c:v>
                </c:pt>
                <c:pt idx="303">
                  <c:v>7000</c:v>
                </c:pt>
                <c:pt idx="304">
                  <c:v>7000</c:v>
                </c:pt>
                <c:pt idx="305">
                  <c:v>7000</c:v>
                </c:pt>
                <c:pt idx="306">
                  <c:v>7000</c:v>
                </c:pt>
                <c:pt idx="307">
                  <c:v>7000</c:v>
                </c:pt>
                <c:pt idx="308">
                  <c:v>7000</c:v>
                </c:pt>
                <c:pt idx="309">
                  <c:v>7000</c:v>
                </c:pt>
                <c:pt idx="310">
                  <c:v>7000</c:v>
                </c:pt>
                <c:pt idx="311">
                  <c:v>7000</c:v>
                </c:pt>
                <c:pt idx="312">
                  <c:v>7000</c:v>
                </c:pt>
                <c:pt idx="313">
                  <c:v>7000</c:v>
                </c:pt>
                <c:pt idx="314">
                  <c:v>7000</c:v>
                </c:pt>
                <c:pt idx="315">
                  <c:v>7000</c:v>
                </c:pt>
                <c:pt idx="316">
                  <c:v>7000</c:v>
                </c:pt>
                <c:pt idx="317">
                  <c:v>7000</c:v>
                </c:pt>
                <c:pt idx="318">
                  <c:v>7000</c:v>
                </c:pt>
                <c:pt idx="319">
                  <c:v>7000</c:v>
                </c:pt>
                <c:pt idx="320">
                  <c:v>7000</c:v>
                </c:pt>
                <c:pt idx="321">
                  <c:v>7000</c:v>
                </c:pt>
                <c:pt idx="322">
                  <c:v>7000</c:v>
                </c:pt>
                <c:pt idx="323">
                  <c:v>7000</c:v>
                </c:pt>
                <c:pt idx="324">
                  <c:v>7000</c:v>
                </c:pt>
                <c:pt idx="325">
                  <c:v>7000</c:v>
                </c:pt>
                <c:pt idx="326">
                  <c:v>7000</c:v>
                </c:pt>
                <c:pt idx="327">
                  <c:v>7000</c:v>
                </c:pt>
                <c:pt idx="328">
                  <c:v>7000</c:v>
                </c:pt>
                <c:pt idx="329">
                  <c:v>7000</c:v>
                </c:pt>
                <c:pt idx="330">
                  <c:v>7000</c:v>
                </c:pt>
                <c:pt idx="331">
                  <c:v>7000</c:v>
                </c:pt>
                <c:pt idx="332">
                  <c:v>7000</c:v>
                </c:pt>
                <c:pt idx="333">
                  <c:v>7000</c:v>
                </c:pt>
                <c:pt idx="334">
                  <c:v>7000</c:v>
                </c:pt>
                <c:pt idx="335">
                  <c:v>7000</c:v>
                </c:pt>
                <c:pt idx="336">
                  <c:v>7000</c:v>
                </c:pt>
                <c:pt idx="337">
                  <c:v>7000</c:v>
                </c:pt>
                <c:pt idx="338">
                  <c:v>7000</c:v>
                </c:pt>
                <c:pt idx="339">
                  <c:v>7000</c:v>
                </c:pt>
                <c:pt idx="340">
                  <c:v>7000</c:v>
                </c:pt>
                <c:pt idx="341">
                  <c:v>7000</c:v>
                </c:pt>
                <c:pt idx="342">
                  <c:v>7000</c:v>
                </c:pt>
                <c:pt idx="343">
                  <c:v>7000</c:v>
                </c:pt>
                <c:pt idx="344">
                  <c:v>7000</c:v>
                </c:pt>
                <c:pt idx="345">
                  <c:v>7000</c:v>
                </c:pt>
                <c:pt idx="346">
                  <c:v>7000</c:v>
                </c:pt>
                <c:pt idx="347">
                  <c:v>7000</c:v>
                </c:pt>
                <c:pt idx="348">
                  <c:v>7000</c:v>
                </c:pt>
                <c:pt idx="349">
                  <c:v>7000</c:v>
                </c:pt>
                <c:pt idx="350">
                  <c:v>7000</c:v>
                </c:pt>
                <c:pt idx="351">
                  <c:v>7000</c:v>
                </c:pt>
                <c:pt idx="352">
                  <c:v>7000</c:v>
                </c:pt>
                <c:pt idx="353">
                  <c:v>7000</c:v>
                </c:pt>
                <c:pt idx="354">
                  <c:v>7000</c:v>
                </c:pt>
                <c:pt idx="355">
                  <c:v>7000</c:v>
                </c:pt>
                <c:pt idx="356">
                  <c:v>7000</c:v>
                </c:pt>
                <c:pt idx="357">
                  <c:v>7000</c:v>
                </c:pt>
                <c:pt idx="358">
                  <c:v>7000</c:v>
                </c:pt>
                <c:pt idx="359">
                  <c:v>7000</c:v>
                </c:pt>
                <c:pt idx="360">
                  <c:v>7000</c:v>
                </c:pt>
                <c:pt idx="361">
                  <c:v>7000</c:v>
                </c:pt>
                <c:pt idx="362">
                  <c:v>7000</c:v>
                </c:pt>
                <c:pt idx="363">
                  <c:v>7000</c:v>
                </c:pt>
                <c:pt idx="364">
                  <c:v>7000</c:v>
                </c:pt>
                <c:pt idx="365">
                  <c:v>7000</c:v>
                </c:pt>
                <c:pt idx="366">
                  <c:v>7000</c:v>
                </c:pt>
                <c:pt idx="367">
                  <c:v>7000</c:v>
                </c:pt>
                <c:pt idx="368">
                  <c:v>7000</c:v>
                </c:pt>
                <c:pt idx="369">
                  <c:v>7000</c:v>
                </c:pt>
                <c:pt idx="370">
                  <c:v>7000</c:v>
                </c:pt>
                <c:pt idx="371">
                  <c:v>7000</c:v>
                </c:pt>
                <c:pt idx="372">
                  <c:v>7000</c:v>
                </c:pt>
                <c:pt idx="373">
                  <c:v>7000</c:v>
                </c:pt>
                <c:pt idx="374">
                  <c:v>7000</c:v>
                </c:pt>
                <c:pt idx="375">
                  <c:v>7000</c:v>
                </c:pt>
                <c:pt idx="376">
                  <c:v>7000</c:v>
                </c:pt>
                <c:pt idx="377">
                  <c:v>7000</c:v>
                </c:pt>
                <c:pt idx="378">
                  <c:v>7000</c:v>
                </c:pt>
                <c:pt idx="379">
                  <c:v>7000</c:v>
                </c:pt>
                <c:pt idx="380">
                  <c:v>7000</c:v>
                </c:pt>
                <c:pt idx="381">
                  <c:v>7000</c:v>
                </c:pt>
                <c:pt idx="382">
                  <c:v>7000</c:v>
                </c:pt>
                <c:pt idx="383">
                  <c:v>7000</c:v>
                </c:pt>
                <c:pt idx="384">
                  <c:v>7000</c:v>
                </c:pt>
                <c:pt idx="385">
                  <c:v>7000</c:v>
                </c:pt>
                <c:pt idx="386">
                  <c:v>7000</c:v>
                </c:pt>
                <c:pt idx="387">
                  <c:v>7000</c:v>
                </c:pt>
                <c:pt idx="388">
                  <c:v>7000</c:v>
                </c:pt>
                <c:pt idx="389">
                  <c:v>7000</c:v>
                </c:pt>
                <c:pt idx="390">
                  <c:v>7000</c:v>
                </c:pt>
                <c:pt idx="391">
                  <c:v>7000</c:v>
                </c:pt>
                <c:pt idx="392">
                  <c:v>7000</c:v>
                </c:pt>
                <c:pt idx="393">
                  <c:v>7000</c:v>
                </c:pt>
                <c:pt idx="394">
                  <c:v>7000</c:v>
                </c:pt>
                <c:pt idx="395">
                  <c:v>7000</c:v>
                </c:pt>
                <c:pt idx="396">
                  <c:v>7000</c:v>
                </c:pt>
                <c:pt idx="397">
                  <c:v>7000</c:v>
                </c:pt>
                <c:pt idx="398">
                  <c:v>7000</c:v>
                </c:pt>
                <c:pt idx="399">
                  <c:v>7000</c:v>
                </c:pt>
                <c:pt idx="400">
                  <c:v>7000</c:v>
                </c:pt>
                <c:pt idx="401">
                  <c:v>7000</c:v>
                </c:pt>
                <c:pt idx="402">
                  <c:v>7000</c:v>
                </c:pt>
                <c:pt idx="403">
                  <c:v>7000</c:v>
                </c:pt>
                <c:pt idx="404">
                  <c:v>7000</c:v>
                </c:pt>
                <c:pt idx="405">
                  <c:v>7000</c:v>
                </c:pt>
                <c:pt idx="406">
                  <c:v>7000</c:v>
                </c:pt>
                <c:pt idx="407">
                  <c:v>7000</c:v>
                </c:pt>
                <c:pt idx="408">
                  <c:v>7000</c:v>
                </c:pt>
                <c:pt idx="409">
                  <c:v>7000</c:v>
                </c:pt>
                <c:pt idx="410">
                  <c:v>7000</c:v>
                </c:pt>
                <c:pt idx="411">
                  <c:v>7000</c:v>
                </c:pt>
                <c:pt idx="412">
                  <c:v>7000</c:v>
                </c:pt>
                <c:pt idx="413">
                  <c:v>7000</c:v>
                </c:pt>
                <c:pt idx="414">
                  <c:v>7000</c:v>
                </c:pt>
                <c:pt idx="415">
                  <c:v>7000</c:v>
                </c:pt>
                <c:pt idx="416">
                  <c:v>7000</c:v>
                </c:pt>
                <c:pt idx="417">
                  <c:v>7000</c:v>
                </c:pt>
                <c:pt idx="418">
                  <c:v>7000</c:v>
                </c:pt>
                <c:pt idx="419">
                  <c:v>7000</c:v>
                </c:pt>
                <c:pt idx="420">
                  <c:v>7000</c:v>
                </c:pt>
                <c:pt idx="421">
                  <c:v>7000</c:v>
                </c:pt>
                <c:pt idx="422">
                  <c:v>7000</c:v>
                </c:pt>
                <c:pt idx="423">
                  <c:v>7000</c:v>
                </c:pt>
                <c:pt idx="424">
                  <c:v>7000</c:v>
                </c:pt>
                <c:pt idx="425">
                  <c:v>7000</c:v>
                </c:pt>
                <c:pt idx="426">
                  <c:v>7000</c:v>
                </c:pt>
                <c:pt idx="427">
                  <c:v>7000</c:v>
                </c:pt>
                <c:pt idx="428">
                  <c:v>7000</c:v>
                </c:pt>
                <c:pt idx="429">
                  <c:v>7000</c:v>
                </c:pt>
                <c:pt idx="430">
                  <c:v>7000</c:v>
                </c:pt>
                <c:pt idx="431">
                  <c:v>7000</c:v>
                </c:pt>
                <c:pt idx="432">
                  <c:v>7000</c:v>
                </c:pt>
                <c:pt idx="433">
                  <c:v>7000</c:v>
                </c:pt>
                <c:pt idx="434">
                  <c:v>7000</c:v>
                </c:pt>
                <c:pt idx="435">
                  <c:v>7000</c:v>
                </c:pt>
                <c:pt idx="436">
                  <c:v>7000</c:v>
                </c:pt>
                <c:pt idx="437">
                  <c:v>7000</c:v>
                </c:pt>
                <c:pt idx="438">
                  <c:v>7000</c:v>
                </c:pt>
                <c:pt idx="439">
                  <c:v>7000</c:v>
                </c:pt>
                <c:pt idx="440">
                  <c:v>7000</c:v>
                </c:pt>
                <c:pt idx="441">
                  <c:v>7000</c:v>
                </c:pt>
                <c:pt idx="442">
                  <c:v>7000</c:v>
                </c:pt>
                <c:pt idx="443">
                  <c:v>7000</c:v>
                </c:pt>
                <c:pt idx="444">
                  <c:v>7000</c:v>
                </c:pt>
                <c:pt idx="445">
                  <c:v>7000</c:v>
                </c:pt>
                <c:pt idx="446">
                  <c:v>7000</c:v>
                </c:pt>
                <c:pt idx="447">
                  <c:v>7000</c:v>
                </c:pt>
                <c:pt idx="448">
                  <c:v>7000</c:v>
                </c:pt>
                <c:pt idx="449">
                  <c:v>7000</c:v>
                </c:pt>
                <c:pt idx="450">
                  <c:v>7000</c:v>
                </c:pt>
                <c:pt idx="451">
                  <c:v>7000</c:v>
                </c:pt>
                <c:pt idx="452">
                  <c:v>7000</c:v>
                </c:pt>
                <c:pt idx="453">
                  <c:v>7000</c:v>
                </c:pt>
                <c:pt idx="454">
                  <c:v>7000</c:v>
                </c:pt>
                <c:pt idx="455">
                  <c:v>7000</c:v>
                </c:pt>
                <c:pt idx="456">
                  <c:v>7000</c:v>
                </c:pt>
                <c:pt idx="457">
                  <c:v>7000</c:v>
                </c:pt>
                <c:pt idx="458">
                  <c:v>7000</c:v>
                </c:pt>
                <c:pt idx="459">
                  <c:v>7000</c:v>
                </c:pt>
                <c:pt idx="460">
                  <c:v>7000</c:v>
                </c:pt>
                <c:pt idx="461">
                  <c:v>7000</c:v>
                </c:pt>
                <c:pt idx="462">
                  <c:v>7000</c:v>
                </c:pt>
                <c:pt idx="463">
                  <c:v>7000</c:v>
                </c:pt>
                <c:pt idx="464">
                  <c:v>7000</c:v>
                </c:pt>
                <c:pt idx="465">
                  <c:v>7000</c:v>
                </c:pt>
                <c:pt idx="466">
                  <c:v>7000</c:v>
                </c:pt>
                <c:pt idx="467">
                  <c:v>7000</c:v>
                </c:pt>
                <c:pt idx="468">
                  <c:v>7000</c:v>
                </c:pt>
                <c:pt idx="469">
                  <c:v>7000</c:v>
                </c:pt>
                <c:pt idx="470">
                  <c:v>7000</c:v>
                </c:pt>
                <c:pt idx="471">
                  <c:v>7000</c:v>
                </c:pt>
                <c:pt idx="472">
                  <c:v>7000</c:v>
                </c:pt>
                <c:pt idx="473">
                  <c:v>7000</c:v>
                </c:pt>
                <c:pt idx="474">
                  <c:v>7000</c:v>
                </c:pt>
                <c:pt idx="475">
                  <c:v>7000</c:v>
                </c:pt>
                <c:pt idx="476">
                  <c:v>7000</c:v>
                </c:pt>
                <c:pt idx="477">
                  <c:v>7000</c:v>
                </c:pt>
                <c:pt idx="478">
                  <c:v>7000</c:v>
                </c:pt>
                <c:pt idx="479">
                  <c:v>7000</c:v>
                </c:pt>
                <c:pt idx="480">
                  <c:v>7000</c:v>
                </c:pt>
                <c:pt idx="481">
                  <c:v>7000</c:v>
                </c:pt>
                <c:pt idx="482">
                  <c:v>7000</c:v>
                </c:pt>
                <c:pt idx="483">
                  <c:v>7000</c:v>
                </c:pt>
                <c:pt idx="484">
                  <c:v>7000</c:v>
                </c:pt>
                <c:pt idx="485">
                  <c:v>7000</c:v>
                </c:pt>
                <c:pt idx="486">
                  <c:v>7000</c:v>
                </c:pt>
                <c:pt idx="487">
                  <c:v>7000</c:v>
                </c:pt>
                <c:pt idx="488">
                  <c:v>7000</c:v>
                </c:pt>
                <c:pt idx="489">
                  <c:v>7000</c:v>
                </c:pt>
                <c:pt idx="490">
                  <c:v>7000</c:v>
                </c:pt>
                <c:pt idx="491">
                  <c:v>7000</c:v>
                </c:pt>
                <c:pt idx="492">
                  <c:v>7000</c:v>
                </c:pt>
                <c:pt idx="493">
                  <c:v>7000</c:v>
                </c:pt>
                <c:pt idx="494">
                  <c:v>7000</c:v>
                </c:pt>
                <c:pt idx="495">
                  <c:v>7000</c:v>
                </c:pt>
                <c:pt idx="496">
                  <c:v>7000</c:v>
                </c:pt>
                <c:pt idx="497">
                  <c:v>7000</c:v>
                </c:pt>
                <c:pt idx="498">
                  <c:v>7000</c:v>
                </c:pt>
                <c:pt idx="499">
                  <c:v>7000</c:v>
                </c:pt>
                <c:pt idx="500">
                  <c:v>7000</c:v>
                </c:pt>
                <c:pt idx="501">
                  <c:v>7000</c:v>
                </c:pt>
                <c:pt idx="502">
                  <c:v>7000</c:v>
                </c:pt>
                <c:pt idx="503">
                  <c:v>7000</c:v>
                </c:pt>
                <c:pt idx="504">
                  <c:v>7000</c:v>
                </c:pt>
                <c:pt idx="505">
                  <c:v>7000</c:v>
                </c:pt>
                <c:pt idx="506">
                  <c:v>7000</c:v>
                </c:pt>
                <c:pt idx="507">
                  <c:v>7000</c:v>
                </c:pt>
                <c:pt idx="508">
                  <c:v>7000</c:v>
                </c:pt>
                <c:pt idx="509">
                  <c:v>7000</c:v>
                </c:pt>
                <c:pt idx="510">
                  <c:v>7000</c:v>
                </c:pt>
                <c:pt idx="511">
                  <c:v>7000</c:v>
                </c:pt>
                <c:pt idx="512">
                  <c:v>7000</c:v>
                </c:pt>
                <c:pt idx="513">
                  <c:v>7000</c:v>
                </c:pt>
                <c:pt idx="514">
                  <c:v>7000</c:v>
                </c:pt>
                <c:pt idx="515">
                  <c:v>7000</c:v>
                </c:pt>
                <c:pt idx="516">
                  <c:v>7000</c:v>
                </c:pt>
                <c:pt idx="517">
                  <c:v>7000</c:v>
                </c:pt>
                <c:pt idx="518">
                  <c:v>7000</c:v>
                </c:pt>
                <c:pt idx="519">
                  <c:v>7000</c:v>
                </c:pt>
                <c:pt idx="520">
                  <c:v>7000</c:v>
                </c:pt>
                <c:pt idx="521">
                  <c:v>7000</c:v>
                </c:pt>
                <c:pt idx="522">
                  <c:v>7000</c:v>
                </c:pt>
                <c:pt idx="523">
                  <c:v>7000</c:v>
                </c:pt>
                <c:pt idx="524">
                  <c:v>7000</c:v>
                </c:pt>
                <c:pt idx="525">
                  <c:v>7000</c:v>
                </c:pt>
                <c:pt idx="526">
                  <c:v>7000</c:v>
                </c:pt>
                <c:pt idx="527">
                  <c:v>7000</c:v>
                </c:pt>
                <c:pt idx="528">
                  <c:v>7000</c:v>
                </c:pt>
                <c:pt idx="529">
                  <c:v>7000</c:v>
                </c:pt>
                <c:pt idx="530">
                  <c:v>7000</c:v>
                </c:pt>
                <c:pt idx="531">
                  <c:v>7000</c:v>
                </c:pt>
                <c:pt idx="532">
                  <c:v>7000</c:v>
                </c:pt>
                <c:pt idx="533">
                  <c:v>7000</c:v>
                </c:pt>
                <c:pt idx="534">
                  <c:v>7000</c:v>
                </c:pt>
                <c:pt idx="535">
                  <c:v>7000</c:v>
                </c:pt>
                <c:pt idx="536">
                  <c:v>7000</c:v>
                </c:pt>
                <c:pt idx="537">
                  <c:v>7000</c:v>
                </c:pt>
                <c:pt idx="538">
                  <c:v>7000</c:v>
                </c:pt>
                <c:pt idx="539">
                  <c:v>7000</c:v>
                </c:pt>
                <c:pt idx="540">
                  <c:v>7000</c:v>
                </c:pt>
                <c:pt idx="541">
                  <c:v>7000</c:v>
                </c:pt>
                <c:pt idx="542">
                  <c:v>7000</c:v>
                </c:pt>
                <c:pt idx="543">
                  <c:v>7000</c:v>
                </c:pt>
                <c:pt idx="544">
                  <c:v>7000</c:v>
                </c:pt>
                <c:pt idx="545">
                  <c:v>7000</c:v>
                </c:pt>
                <c:pt idx="546">
                  <c:v>7000</c:v>
                </c:pt>
                <c:pt idx="547">
                  <c:v>7000</c:v>
                </c:pt>
                <c:pt idx="548">
                  <c:v>7000</c:v>
                </c:pt>
                <c:pt idx="549">
                  <c:v>7000</c:v>
                </c:pt>
                <c:pt idx="550">
                  <c:v>7000</c:v>
                </c:pt>
                <c:pt idx="551">
                  <c:v>7000</c:v>
                </c:pt>
                <c:pt idx="552">
                  <c:v>7000</c:v>
                </c:pt>
                <c:pt idx="553">
                  <c:v>7000</c:v>
                </c:pt>
                <c:pt idx="554">
                  <c:v>7000</c:v>
                </c:pt>
                <c:pt idx="555">
                  <c:v>7000</c:v>
                </c:pt>
                <c:pt idx="556">
                  <c:v>7000</c:v>
                </c:pt>
                <c:pt idx="557">
                  <c:v>7000</c:v>
                </c:pt>
                <c:pt idx="558">
                  <c:v>7000</c:v>
                </c:pt>
                <c:pt idx="559">
                  <c:v>7000</c:v>
                </c:pt>
                <c:pt idx="560">
                  <c:v>7000</c:v>
                </c:pt>
                <c:pt idx="561">
                  <c:v>7000</c:v>
                </c:pt>
                <c:pt idx="562">
                  <c:v>7000</c:v>
                </c:pt>
                <c:pt idx="563">
                  <c:v>7000</c:v>
                </c:pt>
                <c:pt idx="564">
                  <c:v>7000</c:v>
                </c:pt>
                <c:pt idx="565">
                  <c:v>7000</c:v>
                </c:pt>
                <c:pt idx="566">
                  <c:v>7000</c:v>
                </c:pt>
                <c:pt idx="567">
                  <c:v>7000</c:v>
                </c:pt>
                <c:pt idx="568">
                  <c:v>7000</c:v>
                </c:pt>
                <c:pt idx="569">
                  <c:v>7000</c:v>
                </c:pt>
                <c:pt idx="570">
                  <c:v>7000</c:v>
                </c:pt>
                <c:pt idx="571">
                  <c:v>7000</c:v>
                </c:pt>
                <c:pt idx="572">
                  <c:v>7000</c:v>
                </c:pt>
                <c:pt idx="573">
                  <c:v>7000</c:v>
                </c:pt>
                <c:pt idx="574">
                  <c:v>7000</c:v>
                </c:pt>
                <c:pt idx="575">
                  <c:v>7000</c:v>
                </c:pt>
                <c:pt idx="576">
                  <c:v>7000</c:v>
                </c:pt>
                <c:pt idx="577">
                  <c:v>7000</c:v>
                </c:pt>
                <c:pt idx="578">
                  <c:v>7000</c:v>
                </c:pt>
                <c:pt idx="579">
                  <c:v>7000</c:v>
                </c:pt>
                <c:pt idx="580">
                  <c:v>7000</c:v>
                </c:pt>
                <c:pt idx="581">
                  <c:v>7000</c:v>
                </c:pt>
                <c:pt idx="582">
                  <c:v>7000</c:v>
                </c:pt>
                <c:pt idx="583">
                  <c:v>7000</c:v>
                </c:pt>
                <c:pt idx="584">
                  <c:v>7000</c:v>
                </c:pt>
                <c:pt idx="585">
                  <c:v>7000</c:v>
                </c:pt>
                <c:pt idx="586">
                  <c:v>7000</c:v>
                </c:pt>
                <c:pt idx="587">
                  <c:v>7000</c:v>
                </c:pt>
                <c:pt idx="588">
                  <c:v>7000</c:v>
                </c:pt>
                <c:pt idx="589">
                  <c:v>7000</c:v>
                </c:pt>
                <c:pt idx="590">
                  <c:v>7000</c:v>
                </c:pt>
                <c:pt idx="591">
                  <c:v>7000</c:v>
                </c:pt>
                <c:pt idx="592">
                  <c:v>7000</c:v>
                </c:pt>
                <c:pt idx="593">
                  <c:v>7000</c:v>
                </c:pt>
                <c:pt idx="594">
                  <c:v>7000</c:v>
                </c:pt>
                <c:pt idx="595">
                  <c:v>7000</c:v>
                </c:pt>
                <c:pt idx="596">
                  <c:v>7000</c:v>
                </c:pt>
                <c:pt idx="597">
                  <c:v>7000</c:v>
                </c:pt>
                <c:pt idx="598">
                  <c:v>7000</c:v>
                </c:pt>
                <c:pt idx="599">
                  <c:v>7000</c:v>
                </c:pt>
              </c:numCache>
            </c:numRef>
          </c:yVal>
          <c:smooth val="1"/>
        </c:ser>
        <c:ser>
          <c:idx val="2"/>
          <c:order val="1"/>
          <c:tx>
            <c:v>Lower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'Chart Data'!$E$2:$E$601</c:f>
              <c:numCache>
                <c:formatCode>General</c:formatCode>
                <c:ptCount val="600"/>
                <c:pt idx="0">
                  <c:v>-7000</c:v>
                </c:pt>
                <c:pt idx="1">
                  <c:v>-7000</c:v>
                </c:pt>
                <c:pt idx="2">
                  <c:v>-7000</c:v>
                </c:pt>
                <c:pt idx="3">
                  <c:v>-7000</c:v>
                </c:pt>
                <c:pt idx="4">
                  <c:v>-7000</c:v>
                </c:pt>
                <c:pt idx="5">
                  <c:v>-7000</c:v>
                </c:pt>
                <c:pt idx="6">
                  <c:v>-7000</c:v>
                </c:pt>
                <c:pt idx="7">
                  <c:v>-7000</c:v>
                </c:pt>
                <c:pt idx="8">
                  <c:v>-7000</c:v>
                </c:pt>
                <c:pt idx="9">
                  <c:v>-7000</c:v>
                </c:pt>
                <c:pt idx="10">
                  <c:v>-7000</c:v>
                </c:pt>
                <c:pt idx="11">
                  <c:v>-7000</c:v>
                </c:pt>
                <c:pt idx="12">
                  <c:v>-7000</c:v>
                </c:pt>
                <c:pt idx="13">
                  <c:v>-7000</c:v>
                </c:pt>
                <c:pt idx="14">
                  <c:v>-7000</c:v>
                </c:pt>
                <c:pt idx="15">
                  <c:v>-7000</c:v>
                </c:pt>
                <c:pt idx="16">
                  <c:v>-7000</c:v>
                </c:pt>
                <c:pt idx="17">
                  <c:v>-7000</c:v>
                </c:pt>
                <c:pt idx="18">
                  <c:v>-7000</c:v>
                </c:pt>
                <c:pt idx="19">
                  <c:v>-7000</c:v>
                </c:pt>
                <c:pt idx="20">
                  <c:v>-7000</c:v>
                </c:pt>
                <c:pt idx="21">
                  <c:v>-7000</c:v>
                </c:pt>
                <c:pt idx="22">
                  <c:v>-7000</c:v>
                </c:pt>
                <c:pt idx="23">
                  <c:v>-7000</c:v>
                </c:pt>
                <c:pt idx="24">
                  <c:v>-7000</c:v>
                </c:pt>
                <c:pt idx="25">
                  <c:v>-7000</c:v>
                </c:pt>
                <c:pt idx="26">
                  <c:v>-7000</c:v>
                </c:pt>
                <c:pt idx="27">
                  <c:v>-7000</c:v>
                </c:pt>
                <c:pt idx="28">
                  <c:v>-7000</c:v>
                </c:pt>
                <c:pt idx="29">
                  <c:v>-7000</c:v>
                </c:pt>
                <c:pt idx="30">
                  <c:v>-7000</c:v>
                </c:pt>
                <c:pt idx="31">
                  <c:v>-7000</c:v>
                </c:pt>
                <c:pt idx="32">
                  <c:v>-7000</c:v>
                </c:pt>
                <c:pt idx="33">
                  <c:v>-7000</c:v>
                </c:pt>
                <c:pt idx="34">
                  <c:v>-7000</c:v>
                </c:pt>
                <c:pt idx="35">
                  <c:v>-7000</c:v>
                </c:pt>
                <c:pt idx="36">
                  <c:v>-7000</c:v>
                </c:pt>
                <c:pt idx="37">
                  <c:v>-7000</c:v>
                </c:pt>
                <c:pt idx="38">
                  <c:v>-7000</c:v>
                </c:pt>
                <c:pt idx="39">
                  <c:v>-7000</c:v>
                </c:pt>
                <c:pt idx="40">
                  <c:v>-7000</c:v>
                </c:pt>
                <c:pt idx="41">
                  <c:v>-7000</c:v>
                </c:pt>
                <c:pt idx="42">
                  <c:v>-7000</c:v>
                </c:pt>
                <c:pt idx="43">
                  <c:v>-7000</c:v>
                </c:pt>
                <c:pt idx="44">
                  <c:v>-7000</c:v>
                </c:pt>
                <c:pt idx="45">
                  <c:v>-7000</c:v>
                </c:pt>
                <c:pt idx="46">
                  <c:v>-7000</c:v>
                </c:pt>
                <c:pt idx="47">
                  <c:v>-7000</c:v>
                </c:pt>
                <c:pt idx="48">
                  <c:v>-7000</c:v>
                </c:pt>
                <c:pt idx="49">
                  <c:v>-7000</c:v>
                </c:pt>
                <c:pt idx="50">
                  <c:v>-7000</c:v>
                </c:pt>
                <c:pt idx="51">
                  <c:v>-7000</c:v>
                </c:pt>
                <c:pt idx="52">
                  <c:v>-7000</c:v>
                </c:pt>
                <c:pt idx="53">
                  <c:v>-7000</c:v>
                </c:pt>
                <c:pt idx="54">
                  <c:v>-7000</c:v>
                </c:pt>
                <c:pt idx="55">
                  <c:v>-7000</c:v>
                </c:pt>
                <c:pt idx="56">
                  <c:v>-7000</c:v>
                </c:pt>
                <c:pt idx="57">
                  <c:v>-7000</c:v>
                </c:pt>
                <c:pt idx="58">
                  <c:v>-7000</c:v>
                </c:pt>
                <c:pt idx="59">
                  <c:v>-7000</c:v>
                </c:pt>
                <c:pt idx="60">
                  <c:v>-7000</c:v>
                </c:pt>
                <c:pt idx="61">
                  <c:v>-7000</c:v>
                </c:pt>
                <c:pt idx="62">
                  <c:v>-7000</c:v>
                </c:pt>
                <c:pt idx="63">
                  <c:v>-7000</c:v>
                </c:pt>
                <c:pt idx="64">
                  <c:v>-7000</c:v>
                </c:pt>
                <c:pt idx="65">
                  <c:v>-7000</c:v>
                </c:pt>
                <c:pt idx="66">
                  <c:v>-7000</c:v>
                </c:pt>
                <c:pt idx="67">
                  <c:v>-7000</c:v>
                </c:pt>
                <c:pt idx="68">
                  <c:v>-7000</c:v>
                </c:pt>
                <c:pt idx="69">
                  <c:v>-7000</c:v>
                </c:pt>
                <c:pt idx="70">
                  <c:v>-7000</c:v>
                </c:pt>
                <c:pt idx="71">
                  <c:v>-7000</c:v>
                </c:pt>
                <c:pt idx="72">
                  <c:v>-7000</c:v>
                </c:pt>
                <c:pt idx="73">
                  <c:v>-7000</c:v>
                </c:pt>
                <c:pt idx="74">
                  <c:v>-7000</c:v>
                </c:pt>
                <c:pt idx="75">
                  <c:v>-7000</c:v>
                </c:pt>
                <c:pt idx="76">
                  <c:v>-7000</c:v>
                </c:pt>
                <c:pt idx="77">
                  <c:v>-7000</c:v>
                </c:pt>
                <c:pt idx="78">
                  <c:v>-7000</c:v>
                </c:pt>
                <c:pt idx="79">
                  <c:v>-7000</c:v>
                </c:pt>
                <c:pt idx="80">
                  <c:v>-7000</c:v>
                </c:pt>
                <c:pt idx="81">
                  <c:v>-7000</c:v>
                </c:pt>
                <c:pt idx="82">
                  <c:v>-7000</c:v>
                </c:pt>
                <c:pt idx="83">
                  <c:v>-7000</c:v>
                </c:pt>
                <c:pt idx="84">
                  <c:v>-7000</c:v>
                </c:pt>
                <c:pt idx="85">
                  <c:v>-7000</c:v>
                </c:pt>
                <c:pt idx="86">
                  <c:v>-7000</c:v>
                </c:pt>
                <c:pt idx="87">
                  <c:v>-7000</c:v>
                </c:pt>
                <c:pt idx="88">
                  <c:v>-7000</c:v>
                </c:pt>
                <c:pt idx="89">
                  <c:v>-7000</c:v>
                </c:pt>
                <c:pt idx="90">
                  <c:v>-7000</c:v>
                </c:pt>
                <c:pt idx="91">
                  <c:v>-7000</c:v>
                </c:pt>
                <c:pt idx="92">
                  <c:v>-7000</c:v>
                </c:pt>
                <c:pt idx="93">
                  <c:v>-7000</c:v>
                </c:pt>
                <c:pt idx="94">
                  <c:v>-7000</c:v>
                </c:pt>
                <c:pt idx="95">
                  <c:v>-7000</c:v>
                </c:pt>
                <c:pt idx="96">
                  <c:v>-7000</c:v>
                </c:pt>
                <c:pt idx="97">
                  <c:v>-7000</c:v>
                </c:pt>
                <c:pt idx="98">
                  <c:v>-7000</c:v>
                </c:pt>
                <c:pt idx="99">
                  <c:v>-7000</c:v>
                </c:pt>
                <c:pt idx="100">
                  <c:v>-7000</c:v>
                </c:pt>
                <c:pt idx="101">
                  <c:v>-7000</c:v>
                </c:pt>
                <c:pt idx="102">
                  <c:v>-7000</c:v>
                </c:pt>
                <c:pt idx="103">
                  <c:v>-7000</c:v>
                </c:pt>
                <c:pt idx="104">
                  <c:v>-7000</c:v>
                </c:pt>
                <c:pt idx="105">
                  <c:v>-7000</c:v>
                </c:pt>
                <c:pt idx="106">
                  <c:v>-7000</c:v>
                </c:pt>
                <c:pt idx="107">
                  <c:v>-7000</c:v>
                </c:pt>
                <c:pt idx="108">
                  <c:v>-7000</c:v>
                </c:pt>
                <c:pt idx="109">
                  <c:v>-7000</c:v>
                </c:pt>
                <c:pt idx="110">
                  <c:v>-7000</c:v>
                </c:pt>
                <c:pt idx="111">
                  <c:v>-7000</c:v>
                </c:pt>
                <c:pt idx="112">
                  <c:v>-7000</c:v>
                </c:pt>
                <c:pt idx="113">
                  <c:v>-7000</c:v>
                </c:pt>
                <c:pt idx="114">
                  <c:v>-7000</c:v>
                </c:pt>
                <c:pt idx="115">
                  <c:v>-7000</c:v>
                </c:pt>
                <c:pt idx="116">
                  <c:v>-7000</c:v>
                </c:pt>
                <c:pt idx="117">
                  <c:v>-7000</c:v>
                </c:pt>
                <c:pt idx="118">
                  <c:v>-7000</c:v>
                </c:pt>
                <c:pt idx="119">
                  <c:v>-7000</c:v>
                </c:pt>
                <c:pt idx="120">
                  <c:v>-7000</c:v>
                </c:pt>
                <c:pt idx="121">
                  <c:v>-7000</c:v>
                </c:pt>
                <c:pt idx="122">
                  <c:v>-7000</c:v>
                </c:pt>
                <c:pt idx="123">
                  <c:v>-7000</c:v>
                </c:pt>
                <c:pt idx="124">
                  <c:v>-7000</c:v>
                </c:pt>
                <c:pt idx="125">
                  <c:v>-7000</c:v>
                </c:pt>
                <c:pt idx="126">
                  <c:v>-7000</c:v>
                </c:pt>
                <c:pt idx="127">
                  <c:v>-7000</c:v>
                </c:pt>
                <c:pt idx="128">
                  <c:v>-7000</c:v>
                </c:pt>
                <c:pt idx="129">
                  <c:v>-7000</c:v>
                </c:pt>
                <c:pt idx="130">
                  <c:v>-7000</c:v>
                </c:pt>
                <c:pt idx="131">
                  <c:v>-7000</c:v>
                </c:pt>
                <c:pt idx="132">
                  <c:v>-7000</c:v>
                </c:pt>
                <c:pt idx="133">
                  <c:v>-7000</c:v>
                </c:pt>
                <c:pt idx="134">
                  <c:v>-7000</c:v>
                </c:pt>
                <c:pt idx="135">
                  <c:v>-7000</c:v>
                </c:pt>
                <c:pt idx="136">
                  <c:v>-7000</c:v>
                </c:pt>
                <c:pt idx="137">
                  <c:v>-7000</c:v>
                </c:pt>
                <c:pt idx="138">
                  <c:v>-7000</c:v>
                </c:pt>
                <c:pt idx="139">
                  <c:v>-7000</c:v>
                </c:pt>
                <c:pt idx="140">
                  <c:v>-7000</c:v>
                </c:pt>
                <c:pt idx="141">
                  <c:v>-7000</c:v>
                </c:pt>
                <c:pt idx="142">
                  <c:v>-7000</c:v>
                </c:pt>
                <c:pt idx="143">
                  <c:v>-7000</c:v>
                </c:pt>
                <c:pt idx="144">
                  <c:v>-7000</c:v>
                </c:pt>
                <c:pt idx="145">
                  <c:v>-7000</c:v>
                </c:pt>
                <c:pt idx="146">
                  <c:v>-7000</c:v>
                </c:pt>
                <c:pt idx="147">
                  <c:v>-7000</c:v>
                </c:pt>
                <c:pt idx="148">
                  <c:v>-7000</c:v>
                </c:pt>
                <c:pt idx="149">
                  <c:v>-7000</c:v>
                </c:pt>
                <c:pt idx="150">
                  <c:v>-7000</c:v>
                </c:pt>
                <c:pt idx="151">
                  <c:v>-7000</c:v>
                </c:pt>
                <c:pt idx="152">
                  <c:v>-7000</c:v>
                </c:pt>
                <c:pt idx="153">
                  <c:v>-7000</c:v>
                </c:pt>
                <c:pt idx="154">
                  <c:v>-7000</c:v>
                </c:pt>
                <c:pt idx="155">
                  <c:v>-7000</c:v>
                </c:pt>
                <c:pt idx="156">
                  <c:v>-7000</c:v>
                </c:pt>
                <c:pt idx="157">
                  <c:v>-7000</c:v>
                </c:pt>
                <c:pt idx="158">
                  <c:v>-7000</c:v>
                </c:pt>
                <c:pt idx="159">
                  <c:v>-7000</c:v>
                </c:pt>
                <c:pt idx="160">
                  <c:v>-7000</c:v>
                </c:pt>
                <c:pt idx="161">
                  <c:v>-7000</c:v>
                </c:pt>
                <c:pt idx="162">
                  <c:v>-7000</c:v>
                </c:pt>
                <c:pt idx="163">
                  <c:v>-7000</c:v>
                </c:pt>
                <c:pt idx="164">
                  <c:v>-7000</c:v>
                </c:pt>
                <c:pt idx="165">
                  <c:v>-7000</c:v>
                </c:pt>
                <c:pt idx="166">
                  <c:v>-7000</c:v>
                </c:pt>
                <c:pt idx="167">
                  <c:v>-7000</c:v>
                </c:pt>
                <c:pt idx="168">
                  <c:v>-7000</c:v>
                </c:pt>
                <c:pt idx="169">
                  <c:v>-7000</c:v>
                </c:pt>
                <c:pt idx="170">
                  <c:v>-7000</c:v>
                </c:pt>
                <c:pt idx="171">
                  <c:v>-7000</c:v>
                </c:pt>
                <c:pt idx="172">
                  <c:v>-7000</c:v>
                </c:pt>
                <c:pt idx="173">
                  <c:v>-7000</c:v>
                </c:pt>
                <c:pt idx="174">
                  <c:v>-7000</c:v>
                </c:pt>
                <c:pt idx="175">
                  <c:v>-7000</c:v>
                </c:pt>
                <c:pt idx="176">
                  <c:v>-7000</c:v>
                </c:pt>
                <c:pt idx="177">
                  <c:v>-7000</c:v>
                </c:pt>
                <c:pt idx="178">
                  <c:v>-7000</c:v>
                </c:pt>
                <c:pt idx="179">
                  <c:v>-7000</c:v>
                </c:pt>
                <c:pt idx="180">
                  <c:v>-7000</c:v>
                </c:pt>
                <c:pt idx="181">
                  <c:v>-7000</c:v>
                </c:pt>
                <c:pt idx="182">
                  <c:v>-7000</c:v>
                </c:pt>
                <c:pt idx="183">
                  <c:v>-7000</c:v>
                </c:pt>
                <c:pt idx="184">
                  <c:v>-7000</c:v>
                </c:pt>
                <c:pt idx="185">
                  <c:v>-7000</c:v>
                </c:pt>
                <c:pt idx="186">
                  <c:v>-7000</c:v>
                </c:pt>
                <c:pt idx="187">
                  <c:v>-7000</c:v>
                </c:pt>
                <c:pt idx="188">
                  <c:v>-7000</c:v>
                </c:pt>
                <c:pt idx="189">
                  <c:v>-7000</c:v>
                </c:pt>
                <c:pt idx="190">
                  <c:v>-7000</c:v>
                </c:pt>
                <c:pt idx="191">
                  <c:v>-7000</c:v>
                </c:pt>
                <c:pt idx="192">
                  <c:v>-7000</c:v>
                </c:pt>
                <c:pt idx="193">
                  <c:v>-7000</c:v>
                </c:pt>
                <c:pt idx="194">
                  <c:v>-7000</c:v>
                </c:pt>
                <c:pt idx="195">
                  <c:v>-7000</c:v>
                </c:pt>
                <c:pt idx="196">
                  <c:v>-7000</c:v>
                </c:pt>
                <c:pt idx="197">
                  <c:v>-7000</c:v>
                </c:pt>
                <c:pt idx="198">
                  <c:v>-7000</c:v>
                </c:pt>
                <c:pt idx="199">
                  <c:v>-7000</c:v>
                </c:pt>
                <c:pt idx="200">
                  <c:v>-7000</c:v>
                </c:pt>
                <c:pt idx="201">
                  <c:v>-7000</c:v>
                </c:pt>
                <c:pt idx="202">
                  <c:v>-7000</c:v>
                </c:pt>
                <c:pt idx="203">
                  <c:v>-7000</c:v>
                </c:pt>
                <c:pt idx="204">
                  <c:v>-7000</c:v>
                </c:pt>
                <c:pt idx="205">
                  <c:v>-7000</c:v>
                </c:pt>
                <c:pt idx="206">
                  <c:v>-7000</c:v>
                </c:pt>
                <c:pt idx="207">
                  <c:v>-7000</c:v>
                </c:pt>
                <c:pt idx="208">
                  <c:v>-7000</c:v>
                </c:pt>
                <c:pt idx="209">
                  <c:v>-7000</c:v>
                </c:pt>
                <c:pt idx="210">
                  <c:v>-7000</c:v>
                </c:pt>
                <c:pt idx="211">
                  <c:v>-7000</c:v>
                </c:pt>
                <c:pt idx="212">
                  <c:v>-7000</c:v>
                </c:pt>
                <c:pt idx="213">
                  <c:v>-7000</c:v>
                </c:pt>
                <c:pt idx="214">
                  <c:v>-7000</c:v>
                </c:pt>
                <c:pt idx="215">
                  <c:v>-7000</c:v>
                </c:pt>
                <c:pt idx="216">
                  <c:v>-7000</c:v>
                </c:pt>
                <c:pt idx="217">
                  <c:v>-7000</c:v>
                </c:pt>
                <c:pt idx="218">
                  <c:v>-7000</c:v>
                </c:pt>
                <c:pt idx="219">
                  <c:v>-7000</c:v>
                </c:pt>
                <c:pt idx="220">
                  <c:v>-7000</c:v>
                </c:pt>
                <c:pt idx="221">
                  <c:v>-7000</c:v>
                </c:pt>
                <c:pt idx="222">
                  <c:v>-7000</c:v>
                </c:pt>
                <c:pt idx="223">
                  <c:v>-7000</c:v>
                </c:pt>
                <c:pt idx="224">
                  <c:v>-7000</c:v>
                </c:pt>
                <c:pt idx="225">
                  <c:v>-7000</c:v>
                </c:pt>
                <c:pt idx="226">
                  <c:v>-7000</c:v>
                </c:pt>
                <c:pt idx="227">
                  <c:v>-7000</c:v>
                </c:pt>
                <c:pt idx="228">
                  <c:v>-7000</c:v>
                </c:pt>
                <c:pt idx="229">
                  <c:v>-7000</c:v>
                </c:pt>
                <c:pt idx="230">
                  <c:v>-7000</c:v>
                </c:pt>
                <c:pt idx="231">
                  <c:v>-7000</c:v>
                </c:pt>
                <c:pt idx="232">
                  <c:v>-7000</c:v>
                </c:pt>
                <c:pt idx="233">
                  <c:v>-7000</c:v>
                </c:pt>
                <c:pt idx="234">
                  <c:v>-7000</c:v>
                </c:pt>
                <c:pt idx="235">
                  <c:v>-7000</c:v>
                </c:pt>
                <c:pt idx="236">
                  <c:v>-7000</c:v>
                </c:pt>
                <c:pt idx="237">
                  <c:v>-7000</c:v>
                </c:pt>
                <c:pt idx="238">
                  <c:v>-7000</c:v>
                </c:pt>
                <c:pt idx="239">
                  <c:v>-7000</c:v>
                </c:pt>
                <c:pt idx="240">
                  <c:v>-7000</c:v>
                </c:pt>
                <c:pt idx="241">
                  <c:v>-7000</c:v>
                </c:pt>
                <c:pt idx="242">
                  <c:v>-7000</c:v>
                </c:pt>
                <c:pt idx="243">
                  <c:v>-7000</c:v>
                </c:pt>
                <c:pt idx="244">
                  <c:v>-7000</c:v>
                </c:pt>
                <c:pt idx="245">
                  <c:v>-7000</c:v>
                </c:pt>
                <c:pt idx="246">
                  <c:v>-7000</c:v>
                </c:pt>
                <c:pt idx="247">
                  <c:v>-7000</c:v>
                </c:pt>
                <c:pt idx="248">
                  <c:v>-7000</c:v>
                </c:pt>
                <c:pt idx="249">
                  <c:v>-7000</c:v>
                </c:pt>
                <c:pt idx="250">
                  <c:v>-7000</c:v>
                </c:pt>
                <c:pt idx="251">
                  <c:v>-7000</c:v>
                </c:pt>
                <c:pt idx="252">
                  <c:v>-7000</c:v>
                </c:pt>
                <c:pt idx="253">
                  <c:v>-7000</c:v>
                </c:pt>
                <c:pt idx="254">
                  <c:v>-7000</c:v>
                </c:pt>
                <c:pt idx="255">
                  <c:v>-7000</c:v>
                </c:pt>
                <c:pt idx="256">
                  <c:v>-7000</c:v>
                </c:pt>
                <c:pt idx="257">
                  <c:v>-7000</c:v>
                </c:pt>
                <c:pt idx="258">
                  <c:v>-7000</c:v>
                </c:pt>
                <c:pt idx="259">
                  <c:v>-7000</c:v>
                </c:pt>
                <c:pt idx="260">
                  <c:v>-7000</c:v>
                </c:pt>
                <c:pt idx="261">
                  <c:v>-7000</c:v>
                </c:pt>
                <c:pt idx="262">
                  <c:v>-7000</c:v>
                </c:pt>
                <c:pt idx="263">
                  <c:v>-7000</c:v>
                </c:pt>
                <c:pt idx="264">
                  <c:v>-7000</c:v>
                </c:pt>
                <c:pt idx="265">
                  <c:v>-7000</c:v>
                </c:pt>
                <c:pt idx="266">
                  <c:v>-7000</c:v>
                </c:pt>
                <c:pt idx="267">
                  <c:v>-7000</c:v>
                </c:pt>
                <c:pt idx="268">
                  <c:v>-7000</c:v>
                </c:pt>
                <c:pt idx="269">
                  <c:v>-7000</c:v>
                </c:pt>
                <c:pt idx="270">
                  <c:v>-7000</c:v>
                </c:pt>
                <c:pt idx="271">
                  <c:v>-7000</c:v>
                </c:pt>
                <c:pt idx="272">
                  <c:v>-7000</c:v>
                </c:pt>
                <c:pt idx="273">
                  <c:v>-7000</c:v>
                </c:pt>
                <c:pt idx="274">
                  <c:v>-7000</c:v>
                </c:pt>
                <c:pt idx="275">
                  <c:v>-7000</c:v>
                </c:pt>
                <c:pt idx="276">
                  <c:v>-7000</c:v>
                </c:pt>
                <c:pt idx="277">
                  <c:v>-7000</c:v>
                </c:pt>
                <c:pt idx="278">
                  <c:v>-7000</c:v>
                </c:pt>
                <c:pt idx="279">
                  <c:v>-7000</c:v>
                </c:pt>
                <c:pt idx="280">
                  <c:v>-7000</c:v>
                </c:pt>
                <c:pt idx="281">
                  <c:v>-7000</c:v>
                </c:pt>
                <c:pt idx="282">
                  <c:v>-7000</c:v>
                </c:pt>
                <c:pt idx="283">
                  <c:v>-7000</c:v>
                </c:pt>
                <c:pt idx="284">
                  <c:v>-7000</c:v>
                </c:pt>
                <c:pt idx="285">
                  <c:v>-7000</c:v>
                </c:pt>
                <c:pt idx="286">
                  <c:v>-7000</c:v>
                </c:pt>
                <c:pt idx="287">
                  <c:v>-7000</c:v>
                </c:pt>
                <c:pt idx="288">
                  <c:v>-7000</c:v>
                </c:pt>
                <c:pt idx="289">
                  <c:v>-7000</c:v>
                </c:pt>
                <c:pt idx="290">
                  <c:v>-7000</c:v>
                </c:pt>
                <c:pt idx="291">
                  <c:v>-7000</c:v>
                </c:pt>
                <c:pt idx="292">
                  <c:v>-7000</c:v>
                </c:pt>
                <c:pt idx="293">
                  <c:v>-7000</c:v>
                </c:pt>
                <c:pt idx="294">
                  <c:v>-7000</c:v>
                </c:pt>
                <c:pt idx="295">
                  <c:v>-7000</c:v>
                </c:pt>
                <c:pt idx="296">
                  <c:v>-7000</c:v>
                </c:pt>
                <c:pt idx="297">
                  <c:v>-7000</c:v>
                </c:pt>
                <c:pt idx="298">
                  <c:v>-7000</c:v>
                </c:pt>
                <c:pt idx="299">
                  <c:v>-7000</c:v>
                </c:pt>
                <c:pt idx="300">
                  <c:v>-7000</c:v>
                </c:pt>
                <c:pt idx="301">
                  <c:v>-7000</c:v>
                </c:pt>
                <c:pt idx="302">
                  <c:v>-7000</c:v>
                </c:pt>
                <c:pt idx="303">
                  <c:v>-7000</c:v>
                </c:pt>
                <c:pt idx="304">
                  <c:v>-7000</c:v>
                </c:pt>
                <c:pt idx="305">
                  <c:v>-7000</c:v>
                </c:pt>
                <c:pt idx="306">
                  <c:v>-7000</c:v>
                </c:pt>
                <c:pt idx="307">
                  <c:v>-7000</c:v>
                </c:pt>
                <c:pt idx="308">
                  <c:v>-7000</c:v>
                </c:pt>
                <c:pt idx="309">
                  <c:v>-7000</c:v>
                </c:pt>
                <c:pt idx="310">
                  <c:v>-7000</c:v>
                </c:pt>
                <c:pt idx="311">
                  <c:v>-7000</c:v>
                </c:pt>
                <c:pt idx="312">
                  <c:v>-7000</c:v>
                </c:pt>
                <c:pt idx="313">
                  <c:v>-7000</c:v>
                </c:pt>
                <c:pt idx="314">
                  <c:v>-7000</c:v>
                </c:pt>
                <c:pt idx="315">
                  <c:v>-7000</c:v>
                </c:pt>
                <c:pt idx="316">
                  <c:v>-7000</c:v>
                </c:pt>
                <c:pt idx="317">
                  <c:v>-7000</c:v>
                </c:pt>
                <c:pt idx="318">
                  <c:v>-7000</c:v>
                </c:pt>
                <c:pt idx="319">
                  <c:v>-7000</c:v>
                </c:pt>
                <c:pt idx="320">
                  <c:v>-7000</c:v>
                </c:pt>
                <c:pt idx="321">
                  <c:v>-7000</c:v>
                </c:pt>
                <c:pt idx="322">
                  <c:v>-7000</c:v>
                </c:pt>
                <c:pt idx="323">
                  <c:v>-7000</c:v>
                </c:pt>
                <c:pt idx="324">
                  <c:v>-7000</c:v>
                </c:pt>
                <c:pt idx="325">
                  <c:v>-7000</c:v>
                </c:pt>
                <c:pt idx="326">
                  <c:v>-7000</c:v>
                </c:pt>
                <c:pt idx="327">
                  <c:v>-7000</c:v>
                </c:pt>
                <c:pt idx="328">
                  <c:v>-7000</c:v>
                </c:pt>
                <c:pt idx="329">
                  <c:v>-7000</c:v>
                </c:pt>
                <c:pt idx="330">
                  <c:v>-7000</c:v>
                </c:pt>
                <c:pt idx="331">
                  <c:v>-7000</c:v>
                </c:pt>
                <c:pt idx="332">
                  <c:v>-7000</c:v>
                </c:pt>
                <c:pt idx="333">
                  <c:v>-7000</c:v>
                </c:pt>
                <c:pt idx="334">
                  <c:v>-7000</c:v>
                </c:pt>
                <c:pt idx="335">
                  <c:v>-7000</c:v>
                </c:pt>
                <c:pt idx="336">
                  <c:v>-7000</c:v>
                </c:pt>
                <c:pt idx="337">
                  <c:v>-7000</c:v>
                </c:pt>
                <c:pt idx="338">
                  <c:v>-7000</c:v>
                </c:pt>
                <c:pt idx="339">
                  <c:v>-7000</c:v>
                </c:pt>
                <c:pt idx="340">
                  <c:v>-7000</c:v>
                </c:pt>
                <c:pt idx="341">
                  <c:v>-7000</c:v>
                </c:pt>
                <c:pt idx="342">
                  <c:v>-7000</c:v>
                </c:pt>
                <c:pt idx="343">
                  <c:v>-7000</c:v>
                </c:pt>
                <c:pt idx="344">
                  <c:v>-7000</c:v>
                </c:pt>
                <c:pt idx="345">
                  <c:v>-7000</c:v>
                </c:pt>
                <c:pt idx="346">
                  <c:v>-7000</c:v>
                </c:pt>
                <c:pt idx="347">
                  <c:v>-7000</c:v>
                </c:pt>
                <c:pt idx="348">
                  <c:v>-7000</c:v>
                </c:pt>
                <c:pt idx="349">
                  <c:v>-7000</c:v>
                </c:pt>
                <c:pt idx="350">
                  <c:v>-7000</c:v>
                </c:pt>
                <c:pt idx="351">
                  <c:v>-7000</c:v>
                </c:pt>
                <c:pt idx="352">
                  <c:v>-7000</c:v>
                </c:pt>
                <c:pt idx="353">
                  <c:v>-7000</c:v>
                </c:pt>
                <c:pt idx="354">
                  <c:v>-7000</c:v>
                </c:pt>
                <c:pt idx="355">
                  <c:v>-7000</c:v>
                </c:pt>
                <c:pt idx="356">
                  <c:v>-7000</c:v>
                </c:pt>
                <c:pt idx="357">
                  <c:v>-7000</c:v>
                </c:pt>
                <c:pt idx="358">
                  <c:v>-7000</c:v>
                </c:pt>
                <c:pt idx="359">
                  <c:v>-7000</c:v>
                </c:pt>
                <c:pt idx="360">
                  <c:v>-7000</c:v>
                </c:pt>
                <c:pt idx="361">
                  <c:v>-7000</c:v>
                </c:pt>
                <c:pt idx="362">
                  <c:v>-7000</c:v>
                </c:pt>
                <c:pt idx="363">
                  <c:v>-7000</c:v>
                </c:pt>
                <c:pt idx="364">
                  <c:v>-7000</c:v>
                </c:pt>
                <c:pt idx="365">
                  <c:v>-7000</c:v>
                </c:pt>
                <c:pt idx="366">
                  <c:v>-7000</c:v>
                </c:pt>
                <c:pt idx="367">
                  <c:v>-7000</c:v>
                </c:pt>
                <c:pt idx="368">
                  <c:v>-7000</c:v>
                </c:pt>
                <c:pt idx="369">
                  <c:v>-7000</c:v>
                </c:pt>
                <c:pt idx="370">
                  <c:v>-7000</c:v>
                </c:pt>
                <c:pt idx="371">
                  <c:v>-7000</c:v>
                </c:pt>
                <c:pt idx="372">
                  <c:v>-7000</c:v>
                </c:pt>
                <c:pt idx="373">
                  <c:v>-7000</c:v>
                </c:pt>
                <c:pt idx="374">
                  <c:v>-7000</c:v>
                </c:pt>
                <c:pt idx="375">
                  <c:v>-7000</c:v>
                </c:pt>
                <c:pt idx="376">
                  <c:v>-7000</c:v>
                </c:pt>
                <c:pt idx="377">
                  <c:v>-7000</c:v>
                </c:pt>
                <c:pt idx="378">
                  <c:v>-7000</c:v>
                </c:pt>
                <c:pt idx="379">
                  <c:v>-7000</c:v>
                </c:pt>
                <c:pt idx="380">
                  <c:v>-7000</c:v>
                </c:pt>
                <c:pt idx="381">
                  <c:v>-7000</c:v>
                </c:pt>
                <c:pt idx="382">
                  <c:v>-7000</c:v>
                </c:pt>
                <c:pt idx="383">
                  <c:v>-7000</c:v>
                </c:pt>
                <c:pt idx="384">
                  <c:v>-7000</c:v>
                </c:pt>
                <c:pt idx="385">
                  <c:v>-7000</c:v>
                </c:pt>
                <c:pt idx="386">
                  <c:v>-7000</c:v>
                </c:pt>
                <c:pt idx="387">
                  <c:v>-7000</c:v>
                </c:pt>
                <c:pt idx="388">
                  <c:v>-7000</c:v>
                </c:pt>
                <c:pt idx="389">
                  <c:v>-7000</c:v>
                </c:pt>
                <c:pt idx="390">
                  <c:v>-7000</c:v>
                </c:pt>
                <c:pt idx="391">
                  <c:v>-7000</c:v>
                </c:pt>
                <c:pt idx="392">
                  <c:v>-7000</c:v>
                </c:pt>
                <c:pt idx="393">
                  <c:v>-7000</c:v>
                </c:pt>
                <c:pt idx="394">
                  <c:v>-7000</c:v>
                </c:pt>
                <c:pt idx="395">
                  <c:v>-7000</c:v>
                </c:pt>
                <c:pt idx="396">
                  <c:v>-7000</c:v>
                </c:pt>
                <c:pt idx="397">
                  <c:v>-7000</c:v>
                </c:pt>
                <c:pt idx="398">
                  <c:v>-7000</c:v>
                </c:pt>
                <c:pt idx="399">
                  <c:v>-7000</c:v>
                </c:pt>
                <c:pt idx="400">
                  <c:v>-7000</c:v>
                </c:pt>
                <c:pt idx="401">
                  <c:v>-7000</c:v>
                </c:pt>
                <c:pt idx="402">
                  <c:v>-7000</c:v>
                </c:pt>
                <c:pt idx="403">
                  <c:v>-7000</c:v>
                </c:pt>
                <c:pt idx="404">
                  <c:v>-7000</c:v>
                </c:pt>
                <c:pt idx="405">
                  <c:v>-7000</c:v>
                </c:pt>
                <c:pt idx="406">
                  <c:v>-7000</c:v>
                </c:pt>
                <c:pt idx="407">
                  <c:v>-7000</c:v>
                </c:pt>
                <c:pt idx="408">
                  <c:v>-7000</c:v>
                </c:pt>
                <c:pt idx="409">
                  <c:v>-7000</c:v>
                </c:pt>
                <c:pt idx="410">
                  <c:v>-7000</c:v>
                </c:pt>
                <c:pt idx="411">
                  <c:v>-7000</c:v>
                </c:pt>
                <c:pt idx="412">
                  <c:v>-7000</c:v>
                </c:pt>
                <c:pt idx="413">
                  <c:v>-7000</c:v>
                </c:pt>
                <c:pt idx="414">
                  <c:v>-7000</c:v>
                </c:pt>
                <c:pt idx="415">
                  <c:v>-7000</c:v>
                </c:pt>
                <c:pt idx="416">
                  <c:v>-7000</c:v>
                </c:pt>
                <c:pt idx="417">
                  <c:v>-7000</c:v>
                </c:pt>
                <c:pt idx="418">
                  <c:v>-7000</c:v>
                </c:pt>
                <c:pt idx="419">
                  <c:v>-7000</c:v>
                </c:pt>
                <c:pt idx="420">
                  <c:v>-7000</c:v>
                </c:pt>
                <c:pt idx="421">
                  <c:v>-7000</c:v>
                </c:pt>
                <c:pt idx="422">
                  <c:v>-7000</c:v>
                </c:pt>
                <c:pt idx="423">
                  <c:v>-7000</c:v>
                </c:pt>
                <c:pt idx="424">
                  <c:v>-7000</c:v>
                </c:pt>
                <c:pt idx="425">
                  <c:v>-7000</c:v>
                </c:pt>
                <c:pt idx="426">
                  <c:v>-7000</c:v>
                </c:pt>
                <c:pt idx="427">
                  <c:v>-7000</c:v>
                </c:pt>
                <c:pt idx="428">
                  <c:v>-7000</c:v>
                </c:pt>
                <c:pt idx="429">
                  <c:v>-7000</c:v>
                </c:pt>
                <c:pt idx="430">
                  <c:v>-7000</c:v>
                </c:pt>
                <c:pt idx="431">
                  <c:v>-7000</c:v>
                </c:pt>
                <c:pt idx="432">
                  <c:v>-7000</c:v>
                </c:pt>
                <c:pt idx="433">
                  <c:v>-7000</c:v>
                </c:pt>
                <c:pt idx="434">
                  <c:v>-7000</c:v>
                </c:pt>
                <c:pt idx="435">
                  <c:v>-7000</c:v>
                </c:pt>
                <c:pt idx="436">
                  <c:v>-7000</c:v>
                </c:pt>
                <c:pt idx="437">
                  <c:v>-7000</c:v>
                </c:pt>
                <c:pt idx="438">
                  <c:v>-7000</c:v>
                </c:pt>
                <c:pt idx="439">
                  <c:v>-7000</c:v>
                </c:pt>
                <c:pt idx="440">
                  <c:v>-7000</c:v>
                </c:pt>
                <c:pt idx="441">
                  <c:v>-7000</c:v>
                </c:pt>
                <c:pt idx="442">
                  <c:v>-7000</c:v>
                </c:pt>
                <c:pt idx="443">
                  <c:v>-7000</c:v>
                </c:pt>
                <c:pt idx="444">
                  <c:v>-7000</c:v>
                </c:pt>
                <c:pt idx="445">
                  <c:v>-7000</c:v>
                </c:pt>
                <c:pt idx="446">
                  <c:v>-7000</c:v>
                </c:pt>
                <c:pt idx="447">
                  <c:v>-7000</c:v>
                </c:pt>
                <c:pt idx="448">
                  <c:v>-7000</c:v>
                </c:pt>
                <c:pt idx="449">
                  <c:v>-7000</c:v>
                </c:pt>
                <c:pt idx="450">
                  <c:v>-7000</c:v>
                </c:pt>
                <c:pt idx="451">
                  <c:v>-7000</c:v>
                </c:pt>
                <c:pt idx="452">
                  <c:v>-7000</c:v>
                </c:pt>
                <c:pt idx="453">
                  <c:v>-7000</c:v>
                </c:pt>
                <c:pt idx="454">
                  <c:v>-7000</c:v>
                </c:pt>
                <c:pt idx="455">
                  <c:v>-7000</c:v>
                </c:pt>
                <c:pt idx="456">
                  <c:v>-7000</c:v>
                </c:pt>
                <c:pt idx="457">
                  <c:v>-7000</c:v>
                </c:pt>
                <c:pt idx="458">
                  <c:v>-7000</c:v>
                </c:pt>
                <c:pt idx="459">
                  <c:v>-7000</c:v>
                </c:pt>
                <c:pt idx="460">
                  <c:v>-7000</c:v>
                </c:pt>
                <c:pt idx="461">
                  <c:v>-7000</c:v>
                </c:pt>
                <c:pt idx="462">
                  <c:v>-7000</c:v>
                </c:pt>
                <c:pt idx="463">
                  <c:v>-7000</c:v>
                </c:pt>
                <c:pt idx="464">
                  <c:v>-7000</c:v>
                </c:pt>
                <c:pt idx="465">
                  <c:v>-7000</c:v>
                </c:pt>
                <c:pt idx="466">
                  <c:v>-7000</c:v>
                </c:pt>
                <c:pt idx="467">
                  <c:v>-7000</c:v>
                </c:pt>
                <c:pt idx="468">
                  <c:v>-7000</c:v>
                </c:pt>
                <c:pt idx="469">
                  <c:v>-7000</c:v>
                </c:pt>
                <c:pt idx="470">
                  <c:v>-7000</c:v>
                </c:pt>
                <c:pt idx="471">
                  <c:v>-7000</c:v>
                </c:pt>
                <c:pt idx="472">
                  <c:v>-7000</c:v>
                </c:pt>
                <c:pt idx="473">
                  <c:v>-7000</c:v>
                </c:pt>
                <c:pt idx="474">
                  <c:v>-7000</c:v>
                </c:pt>
                <c:pt idx="475">
                  <c:v>-7000</c:v>
                </c:pt>
                <c:pt idx="476">
                  <c:v>-7000</c:v>
                </c:pt>
                <c:pt idx="477">
                  <c:v>-7000</c:v>
                </c:pt>
                <c:pt idx="478">
                  <c:v>-7000</c:v>
                </c:pt>
                <c:pt idx="479">
                  <c:v>-7000</c:v>
                </c:pt>
                <c:pt idx="480">
                  <c:v>-7000</c:v>
                </c:pt>
                <c:pt idx="481">
                  <c:v>-7000</c:v>
                </c:pt>
                <c:pt idx="482">
                  <c:v>-7000</c:v>
                </c:pt>
                <c:pt idx="483">
                  <c:v>-7000</c:v>
                </c:pt>
                <c:pt idx="484">
                  <c:v>-7000</c:v>
                </c:pt>
                <c:pt idx="485">
                  <c:v>-7000</c:v>
                </c:pt>
                <c:pt idx="486">
                  <c:v>-7000</c:v>
                </c:pt>
                <c:pt idx="487">
                  <c:v>-7000</c:v>
                </c:pt>
                <c:pt idx="488">
                  <c:v>-7000</c:v>
                </c:pt>
                <c:pt idx="489">
                  <c:v>-7000</c:v>
                </c:pt>
                <c:pt idx="490">
                  <c:v>-7000</c:v>
                </c:pt>
                <c:pt idx="491">
                  <c:v>-7000</c:v>
                </c:pt>
                <c:pt idx="492">
                  <c:v>-7000</c:v>
                </c:pt>
                <c:pt idx="493">
                  <c:v>-7000</c:v>
                </c:pt>
                <c:pt idx="494">
                  <c:v>-7000</c:v>
                </c:pt>
                <c:pt idx="495">
                  <c:v>-7000</c:v>
                </c:pt>
                <c:pt idx="496">
                  <c:v>-7000</c:v>
                </c:pt>
                <c:pt idx="497">
                  <c:v>-7000</c:v>
                </c:pt>
                <c:pt idx="498">
                  <c:v>-7000</c:v>
                </c:pt>
                <c:pt idx="499">
                  <c:v>-7000</c:v>
                </c:pt>
                <c:pt idx="500">
                  <c:v>-7000</c:v>
                </c:pt>
                <c:pt idx="501">
                  <c:v>-7000</c:v>
                </c:pt>
                <c:pt idx="502">
                  <c:v>-7000</c:v>
                </c:pt>
                <c:pt idx="503">
                  <c:v>-7000</c:v>
                </c:pt>
                <c:pt idx="504">
                  <c:v>-7000</c:v>
                </c:pt>
                <c:pt idx="505">
                  <c:v>-7000</c:v>
                </c:pt>
                <c:pt idx="506">
                  <c:v>-7000</c:v>
                </c:pt>
                <c:pt idx="507">
                  <c:v>-7000</c:v>
                </c:pt>
                <c:pt idx="508">
                  <c:v>-7000</c:v>
                </c:pt>
                <c:pt idx="509">
                  <c:v>-7000</c:v>
                </c:pt>
                <c:pt idx="510">
                  <c:v>-7000</c:v>
                </c:pt>
                <c:pt idx="511">
                  <c:v>-7000</c:v>
                </c:pt>
                <c:pt idx="512">
                  <c:v>-7000</c:v>
                </c:pt>
                <c:pt idx="513">
                  <c:v>-7000</c:v>
                </c:pt>
                <c:pt idx="514">
                  <c:v>-7000</c:v>
                </c:pt>
                <c:pt idx="515">
                  <c:v>-7000</c:v>
                </c:pt>
                <c:pt idx="516">
                  <c:v>-7000</c:v>
                </c:pt>
                <c:pt idx="517">
                  <c:v>-7000</c:v>
                </c:pt>
                <c:pt idx="518">
                  <c:v>-7000</c:v>
                </c:pt>
                <c:pt idx="519">
                  <c:v>-7000</c:v>
                </c:pt>
                <c:pt idx="520">
                  <c:v>-7000</c:v>
                </c:pt>
                <c:pt idx="521">
                  <c:v>-7000</c:v>
                </c:pt>
                <c:pt idx="522">
                  <c:v>-7000</c:v>
                </c:pt>
                <c:pt idx="523">
                  <c:v>-7000</c:v>
                </c:pt>
                <c:pt idx="524">
                  <c:v>-7000</c:v>
                </c:pt>
                <c:pt idx="525">
                  <c:v>-7000</c:v>
                </c:pt>
                <c:pt idx="526">
                  <c:v>-7000</c:v>
                </c:pt>
                <c:pt idx="527">
                  <c:v>-7000</c:v>
                </c:pt>
                <c:pt idx="528">
                  <c:v>-7000</c:v>
                </c:pt>
                <c:pt idx="529">
                  <c:v>-7000</c:v>
                </c:pt>
                <c:pt idx="530">
                  <c:v>-7000</c:v>
                </c:pt>
                <c:pt idx="531">
                  <c:v>-7000</c:v>
                </c:pt>
                <c:pt idx="532">
                  <c:v>-7000</c:v>
                </c:pt>
                <c:pt idx="533">
                  <c:v>-7000</c:v>
                </c:pt>
                <c:pt idx="534">
                  <c:v>-7000</c:v>
                </c:pt>
                <c:pt idx="535">
                  <c:v>-7000</c:v>
                </c:pt>
                <c:pt idx="536">
                  <c:v>-7000</c:v>
                </c:pt>
                <c:pt idx="537">
                  <c:v>-7000</c:v>
                </c:pt>
                <c:pt idx="538">
                  <c:v>-7000</c:v>
                </c:pt>
                <c:pt idx="539">
                  <c:v>-7000</c:v>
                </c:pt>
                <c:pt idx="540">
                  <c:v>-7000</c:v>
                </c:pt>
                <c:pt idx="541">
                  <c:v>-7000</c:v>
                </c:pt>
                <c:pt idx="542">
                  <c:v>-7000</c:v>
                </c:pt>
                <c:pt idx="543">
                  <c:v>-7000</c:v>
                </c:pt>
                <c:pt idx="544">
                  <c:v>-7000</c:v>
                </c:pt>
                <c:pt idx="545">
                  <c:v>-7000</c:v>
                </c:pt>
                <c:pt idx="546">
                  <c:v>-7000</c:v>
                </c:pt>
                <c:pt idx="547">
                  <c:v>-7000</c:v>
                </c:pt>
                <c:pt idx="548">
                  <c:v>-7000</c:v>
                </c:pt>
                <c:pt idx="549">
                  <c:v>-7000</c:v>
                </c:pt>
                <c:pt idx="550">
                  <c:v>-7000</c:v>
                </c:pt>
                <c:pt idx="551">
                  <c:v>-7000</c:v>
                </c:pt>
                <c:pt idx="552">
                  <c:v>-7000</c:v>
                </c:pt>
                <c:pt idx="553">
                  <c:v>-7000</c:v>
                </c:pt>
                <c:pt idx="554">
                  <c:v>-7000</c:v>
                </c:pt>
                <c:pt idx="555">
                  <c:v>-7000</c:v>
                </c:pt>
                <c:pt idx="556">
                  <c:v>-7000</c:v>
                </c:pt>
                <c:pt idx="557">
                  <c:v>-7000</c:v>
                </c:pt>
                <c:pt idx="558">
                  <c:v>-7000</c:v>
                </c:pt>
                <c:pt idx="559">
                  <c:v>-7000</c:v>
                </c:pt>
                <c:pt idx="560">
                  <c:v>-7000</c:v>
                </c:pt>
                <c:pt idx="561">
                  <c:v>-7000</c:v>
                </c:pt>
                <c:pt idx="562">
                  <c:v>-7000</c:v>
                </c:pt>
                <c:pt idx="563">
                  <c:v>-7000</c:v>
                </c:pt>
                <c:pt idx="564">
                  <c:v>-7000</c:v>
                </c:pt>
                <c:pt idx="565">
                  <c:v>-7000</c:v>
                </c:pt>
                <c:pt idx="566">
                  <c:v>-7000</c:v>
                </c:pt>
                <c:pt idx="567">
                  <c:v>-7000</c:v>
                </c:pt>
                <c:pt idx="568">
                  <c:v>-7000</c:v>
                </c:pt>
                <c:pt idx="569">
                  <c:v>-7000</c:v>
                </c:pt>
                <c:pt idx="570">
                  <c:v>-7000</c:v>
                </c:pt>
                <c:pt idx="571">
                  <c:v>-7000</c:v>
                </c:pt>
                <c:pt idx="572">
                  <c:v>-7000</c:v>
                </c:pt>
                <c:pt idx="573">
                  <c:v>-7000</c:v>
                </c:pt>
                <c:pt idx="574">
                  <c:v>-7000</c:v>
                </c:pt>
                <c:pt idx="575">
                  <c:v>-7000</c:v>
                </c:pt>
                <c:pt idx="576">
                  <c:v>-7000</c:v>
                </c:pt>
                <c:pt idx="577">
                  <c:v>-7000</c:v>
                </c:pt>
                <c:pt idx="578">
                  <c:v>-7000</c:v>
                </c:pt>
                <c:pt idx="579">
                  <c:v>-7000</c:v>
                </c:pt>
                <c:pt idx="580">
                  <c:v>-7000</c:v>
                </c:pt>
                <c:pt idx="581">
                  <c:v>-7000</c:v>
                </c:pt>
                <c:pt idx="582">
                  <c:v>-7000</c:v>
                </c:pt>
                <c:pt idx="583">
                  <c:v>-7000</c:v>
                </c:pt>
                <c:pt idx="584">
                  <c:v>-7000</c:v>
                </c:pt>
                <c:pt idx="585">
                  <c:v>-7000</c:v>
                </c:pt>
                <c:pt idx="586">
                  <c:v>-7000</c:v>
                </c:pt>
                <c:pt idx="587">
                  <c:v>-7000</c:v>
                </c:pt>
                <c:pt idx="588">
                  <c:v>-7000</c:v>
                </c:pt>
                <c:pt idx="589">
                  <c:v>-7000</c:v>
                </c:pt>
                <c:pt idx="590">
                  <c:v>-7000</c:v>
                </c:pt>
                <c:pt idx="591">
                  <c:v>-7000</c:v>
                </c:pt>
                <c:pt idx="592">
                  <c:v>-7000</c:v>
                </c:pt>
                <c:pt idx="593">
                  <c:v>-7000</c:v>
                </c:pt>
                <c:pt idx="594">
                  <c:v>-7000</c:v>
                </c:pt>
                <c:pt idx="595">
                  <c:v>-7000</c:v>
                </c:pt>
                <c:pt idx="596">
                  <c:v>-7000</c:v>
                </c:pt>
                <c:pt idx="597">
                  <c:v>-7000</c:v>
                </c:pt>
                <c:pt idx="598">
                  <c:v>-7000</c:v>
                </c:pt>
                <c:pt idx="599">
                  <c:v>-7000</c:v>
                </c:pt>
              </c:numCache>
            </c:numRef>
          </c:yVal>
          <c:smooth val="1"/>
        </c:ser>
        <c:ser>
          <c:idx val="3"/>
          <c:order val="2"/>
          <c:tx>
            <c:v>Zero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'Chart Data'!$C$2:$C$601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yVal>
          <c:smooth val="1"/>
        </c:ser>
        <c:ser>
          <c:idx val="0"/>
          <c:order val="3"/>
          <c:tx>
            <c:v>Delta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'Chart Data'!$B$2:$B$601</c:f>
              <c:numCache>
                <c:formatCode>General</c:formatCode>
                <c:ptCount val="6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15896"/>
        <c:axId val="164900224"/>
      </c:scatterChart>
      <c:valAx>
        <c:axId val="165115896"/>
        <c:scaling>
          <c:orientation val="minMax"/>
          <c:max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00224"/>
        <c:crosses val="autoZero"/>
        <c:crossBetween val="midCat"/>
      </c:valAx>
      <c:valAx>
        <c:axId val="16490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1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1</xdr:row>
      <xdr:rowOff>38100</xdr:rowOff>
    </xdr:from>
    <xdr:ext cx="1790700" cy="523875"/>
    <xdr:pic>
      <xdr:nvPicPr>
        <xdr:cNvPr id="2" name="Picture 1" descr="logo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238125"/>
          <a:ext cx="17907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4</xdr:col>
      <xdr:colOff>828675</xdr:colOff>
      <xdr:row>3</xdr:row>
      <xdr:rowOff>152399</xdr:rowOff>
    </xdr:from>
    <xdr:to>
      <xdr:col>10</xdr:col>
      <xdr:colOff>762000</xdr:colOff>
      <xdr:row>26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30</xdr:row>
          <xdr:rowOff>47625</xdr:rowOff>
        </xdr:from>
        <xdr:to>
          <xdr:col>8</xdr:col>
          <xdr:colOff>171450</xdr:colOff>
          <xdr:row>33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1" i="0" u="none" strike="noStrike" baseline="0">
                  <a:solidFill>
                    <a:srgbClr val="000000"/>
                  </a:solidFill>
                  <a:latin typeface="Calibri"/>
                </a:rPr>
                <a:t>Click to Start Real-Time charting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542925</xdr:colOff>
      <xdr:row>27</xdr:row>
      <xdr:rowOff>161924</xdr:rowOff>
    </xdr:from>
    <xdr:to>
      <xdr:col>10</xdr:col>
      <xdr:colOff>790575</xdr:colOff>
      <xdr:row>34</xdr:row>
      <xdr:rowOff>142875</xdr:rowOff>
    </xdr:to>
    <xdr:sp macro="" textlink="">
      <xdr:nvSpPr>
        <xdr:cNvPr id="4" name="TextBox 3"/>
        <xdr:cNvSpPr txBox="1"/>
      </xdr:nvSpPr>
      <xdr:spPr>
        <a:xfrm>
          <a:off x="11391900" y="5791199"/>
          <a:ext cx="3629025" cy="1381126"/>
        </a:xfrm>
        <a:prstGeom prst="rect">
          <a:avLst/>
        </a:prstGeom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/>
            <a:t>The chart displays in real-time the delta exposure of the student's portfolio</a:t>
          </a:r>
          <a:r>
            <a:rPr lang="en-CA" sz="1400" baseline="0"/>
            <a:t> in real-time. The volatility used for the calculation of the delta can be found under Black-Scholes Option Pricing Assumptions.</a:t>
          </a:r>
          <a:endParaRPr lang="en-CA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N48"/>
  <sheetViews>
    <sheetView tabSelected="1" workbookViewId="0">
      <selection activeCell="E32" sqref="E32"/>
    </sheetView>
  </sheetViews>
  <sheetFormatPr defaultColWidth="12.5703125" defaultRowHeight="15.75" x14ac:dyDescent="0.25"/>
  <cols>
    <col min="1" max="1" width="32.140625" style="2" bestFit="1" customWidth="1"/>
    <col min="2" max="2" width="11.7109375" style="2" customWidth="1"/>
    <col min="3" max="3" width="19.28515625" style="2" customWidth="1"/>
    <col min="4" max="4" width="18.85546875" style="2" customWidth="1"/>
    <col min="5" max="5" width="20" style="2" customWidth="1"/>
    <col min="6" max="6" width="25.42578125" style="2" customWidth="1"/>
    <col min="7" max="7" width="21.7109375" style="2" customWidth="1"/>
    <col min="8" max="8" width="21" style="34" customWidth="1"/>
    <col min="9" max="9" width="24.28515625" style="34" customWidth="1"/>
    <col min="10" max="10" width="26.42578125" style="34" customWidth="1"/>
    <col min="11" max="14" width="12.5703125" style="34"/>
    <col min="15" max="16384" width="12.5703125" style="2"/>
  </cols>
  <sheetData>
    <row r="2" spans="1:14" ht="18" x14ac:dyDescent="0.25">
      <c r="C2" s="1" t="s">
        <v>0</v>
      </c>
    </row>
    <row r="6" spans="1:14" x14ac:dyDescent="0.25">
      <c r="A6" s="75" t="s">
        <v>1</v>
      </c>
      <c r="B6" s="76"/>
      <c r="C6" s="3"/>
      <c r="D6" s="3"/>
    </row>
    <row r="7" spans="1:14" x14ac:dyDescent="0.25">
      <c r="A7" s="4" t="s">
        <v>2</v>
      </c>
      <c r="B7" s="5" t="str">
        <f>RTD("rit2.rtd",,"TIMEREMAINING")</f>
        <v>TIMEREMAINING</v>
      </c>
      <c r="C7" s="6" t="s">
        <v>3</v>
      </c>
      <c r="D7" s="6"/>
    </row>
    <row r="8" spans="1:14" x14ac:dyDescent="0.25">
      <c r="A8" s="31" t="s">
        <v>4</v>
      </c>
      <c r="B8" s="32" t="str">
        <f>RTD("rit2.rtd",,"RTM","LAST")</f>
        <v>RTM|LAST</v>
      </c>
      <c r="C8" s="6" t="s">
        <v>5</v>
      </c>
      <c r="D8" s="7"/>
    </row>
    <row r="9" spans="1:14" x14ac:dyDescent="0.25">
      <c r="A9" s="3"/>
      <c r="B9" s="3"/>
      <c r="C9" s="3"/>
      <c r="D9" s="3"/>
    </row>
    <row r="11" spans="1:14" x14ac:dyDescent="0.25">
      <c r="A11" s="77" t="s">
        <v>28</v>
      </c>
      <c r="B11" s="78"/>
      <c r="C11" s="3"/>
      <c r="D11" s="3"/>
      <c r="F11" s="8"/>
    </row>
    <row r="12" spans="1:14" x14ac:dyDescent="0.25">
      <c r="A12" s="69" t="s">
        <v>6</v>
      </c>
      <c r="B12" s="70" t="e">
        <f>ROUNDUP(B7/30,0)</f>
        <v>#VALUE!</v>
      </c>
      <c r="C12" s="6" t="s">
        <v>27</v>
      </c>
      <c r="D12" s="6"/>
    </row>
    <row r="13" spans="1:14" x14ac:dyDescent="0.25">
      <c r="A13" s="30" t="s">
        <v>7</v>
      </c>
      <c r="B13" s="63" t="e">
        <f>B12/240</f>
        <v>#VALUE!</v>
      </c>
      <c r="C13" s="9" t="s">
        <v>26</v>
      </c>
      <c r="D13" s="9"/>
    </row>
    <row r="14" spans="1:14" x14ac:dyDescent="0.25">
      <c r="A14" s="4" t="s">
        <v>8</v>
      </c>
      <c r="B14" s="62">
        <v>0</v>
      </c>
      <c r="C14" s="10"/>
      <c r="D14" s="10"/>
    </row>
    <row r="15" spans="1:14" s="16" customFormat="1" ht="33" customHeight="1" x14ac:dyDescent="0.25">
      <c r="A15" s="31" t="s">
        <v>44</v>
      </c>
      <c r="B15" s="64">
        <v>0.2</v>
      </c>
      <c r="C15" s="79" t="s">
        <v>42</v>
      </c>
      <c r="D15" s="80"/>
      <c r="H15" s="34"/>
      <c r="I15" s="34"/>
      <c r="J15" s="34"/>
      <c r="K15" s="34"/>
      <c r="L15" s="34"/>
      <c r="M15" s="34"/>
      <c r="N15" s="34"/>
    </row>
    <row r="16" spans="1:14" x14ac:dyDescent="0.25">
      <c r="A16" s="4"/>
      <c r="B16" s="71"/>
      <c r="C16" s="11"/>
      <c r="D16" s="11"/>
    </row>
    <row r="17" spans="1:14" x14ac:dyDescent="0.25">
      <c r="C17" s="11"/>
      <c r="D17" s="11"/>
    </row>
    <row r="18" spans="1:14" x14ac:dyDescent="0.25">
      <c r="F18" s="12"/>
      <c r="G18" s="12"/>
    </row>
    <row r="19" spans="1:14" x14ac:dyDescent="0.25">
      <c r="F19" s="12"/>
      <c r="G19" s="12"/>
    </row>
    <row r="20" spans="1:14" x14ac:dyDescent="0.25">
      <c r="A20" s="37" t="s">
        <v>30</v>
      </c>
      <c r="B20" s="38"/>
      <c r="C20" s="38"/>
      <c r="D20" s="39"/>
      <c r="E20" s="34"/>
      <c r="F20" s="34"/>
      <c r="G20" s="34"/>
      <c r="L20" s="2"/>
      <c r="M20" s="2"/>
      <c r="N20" s="2"/>
    </row>
    <row r="21" spans="1:14" x14ac:dyDescent="0.25">
      <c r="A21" s="40" t="s">
        <v>34</v>
      </c>
      <c r="B21" s="50" t="e">
        <f>SUM(D24:D34)</f>
        <v>#VALUE!</v>
      </c>
      <c r="C21" s="41"/>
      <c r="D21" s="42"/>
      <c r="E21" s="36"/>
      <c r="F21" s="36"/>
      <c r="G21" s="34"/>
      <c r="N21" s="2"/>
    </row>
    <row r="22" spans="1:14" x14ac:dyDescent="0.25">
      <c r="A22" s="40"/>
      <c r="B22" s="43"/>
      <c r="C22" s="41"/>
      <c r="D22" s="42"/>
      <c r="E22" s="36"/>
      <c r="F22" s="36"/>
      <c r="G22" s="34"/>
      <c r="N22" s="2"/>
    </row>
    <row r="23" spans="1:14" ht="31.5" x14ac:dyDescent="0.25">
      <c r="A23" s="13" t="s">
        <v>10</v>
      </c>
      <c r="B23" s="26" t="s">
        <v>11</v>
      </c>
      <c r="C23" s="26" t="s">
        <v>31</v>
      </c>
      <c r="D23" s="15" t="s">
        <v>32</v>
      </c>
      <c r="E23" s="34"/>
      <c r="F23" s="34"/>
      <c r="G23" s="34"/>
      <c r="L23" s="2"/>
      <c r="M23" s="2"/>
      <c r="N23" s="2"/>
    </row>
    <row r="24" spans="1:14" x14ac:dyDescent="0.25">
      <c r="A24" s="44" t="s">
        <v>33</v>
      </c>
      <c r="B24" s="45"/>
      <c r="C24" s="51" t="str">
        <f>RTD("rit2.rtd",,A24,"POSITION")</f>
        <v>RTM|POSITION</v>
      </c>
      <c r="D24" s="52" t="str">
        <f>C24</f>
        <v>RTM|POSITION</v>
      </c>
      <c r="E24" s="34"/>
      <c r="F24" s="34"/>
      <c r="G24" s="34"/>
      <c r="L24" s="2"/>
      <c r="M24" s="2"/>
      <c r="N24" s="2"/>
    </row>
    <row r="25" spans="1:14" x14ac:dyDescent="0.25">
      <c r="A25" s="46" t="s">
        <v>12</v>
      </c>
      <c r="B25" s="47">
        <v>48</v>
      </c>
      <c r="C25" s="53" t="str">
        <f>RTD("rit2.rtd",,A25,"POSITION")</f>
        <v>RTM48C|POSITION</v>
      </c>
      <c r="D25" s="54" t="e">
        <f>_xlfn.NORM.S.DIST(H39,TRUE)*C25*100</f>
        <v>#VALUE!</v>
      </c>
      <c r="E25" s="34"/>
      <c r="F25" s="34"/>
      <c r="G25" s="34"/>
      <c r="L25" s="2"/>
      <c r="M25" s="2"/>
      <c r="N25" s="2"/>
    </row>
    <row r="26" spans="1:14" x14ac:dyDescent="0.25">
      <c r="A26" s="44" t="s">
        <v>13</v>
      </c>
      <c r="B26" s="45">
        <v>48</v>
      </c>
      <c r="C26" s="51" t="str">
        <f>RTD("rit2.rtd",,A26,"POSITION")</f>
        <v>RTM48P|POSITION</v>
      </c>
      <c r="D26" s="73" t="e">
        <f>(_xlfn.NORM.S.DIST(H40,TRUE)-1)*C26*100</f>
        <v>#VALUE!</v>
      </c>
      <c r="E26" s="34"/>
      <c r="F26" s="34"/>
      <c r="G26" s="34"/>
      <c r="L26" s="2"/>
      <c r="M26" s="2"/>
      <c r="N26" s="2"/>
    </row>
    <row r="27" spans="1:14" x14ac:dyDescent="0.25">
      <c r="A27" s="46" t="s">
        <v>14</v>
      </c>
      <c r="B27" s="47">
        <f>B25+1</f>
        <v>49</v>
      </c>
      <c r="C27" s="53" t="str">
        <f>RTD("rit2.rtd",,A27,"POSITION")</f>
        <v>RTM49C|POSITION</v>
      </c>
      <c r="D27" s="54" t="e">
        <f t="shared" ref="D27:D31" si="0">_xlfn.NORM.S.DIST(H41,TRUE)*C27*100</f>
        <v>#VALUE!</v>
      </c>
      <c r="E27" s="34"/>
      <c r="F27" s="34"/>
      <c r="G27" s="34"/>
      <c r="L27" s="2"/>
      <c r="M27" s="2"/>
      <c r="N27" s="2"/>
    </row>
    <row r="28" spans="1:14" x14ac:dyDescent="0.25">
      <c r="A28" s="44" t="s">
        <v>15</v>
      </c>
      <c r="B28" s="45">
        <f t="shared" ref="B28:B34" si="1">B26+1</f>
        <v>49</v>
      </c>
      <c r="C28" s="51" t="str">
        <f>RTD("rit2.rtd",,A28,"POSITION")</f>
        <v>RTM49P|POSITION</v>
      </c>
      <c r="D28" s="73" t="e">
        <f>(_xlfn.NORM.S.DIST(H42,TRUE)-1)*C28*100</f>
        <v>#VALUE!</v>
      </c>
      <c r="E28" s="34"/>
      <c r="F28" s="34"/>
      <c r="G28" s="34"/>
      <c r="L28" s="2"/>
      <c r="M28" s="2"/>
      <c r="N28" s="2"/>
    </row>
    <row r="29" spans="1:14" x14ac:dyDescent="0.25">
      <c r="A29" s="46" t="s">
        <v>16</v>
      </c>
      <c r="B29" s="47">
        <f t="shared" si="1"/>
        <v>50</v>
      </c>
      <c r="C29" s="53" t="str">
        <f>RTD("rit2.rtd",,A29,"POSITION")</f>
        <v>RTM50C|POSITION</v>
      </c>
      <c r="D29" s="72" t="e">
        <f>_xlfn.NORM.S.DIST(H43,TRUE)*C29*100</f>
        <v>#VALUE!</v>
      </c>
      <c r="E29" s="34"/>
      <c r="G29" s="57" t="s">
        <v>40</v>
      </c>
      <c r="H29" s="58">
        <v>7000</v>
      </c>
      <c r="L29" s="2"/>
      <c r="M29" s="2"/>
      <c r="N29" s="2"/>
    </row>
    <row r="30" spans="1:14" x14ac:dyDescent="0.25">
      <c r="A30" s="44" t="s">
        <v>17</v>
      </c>
      <c r="B30" s="45">
        <f t="shared" si="1"/>
        <v>50</v>
      </c>
      <c r="C30" s="51" t="str">
        <f>RTD("rit2.rtd",,A30,"POSITION")</f>
        <v>RTM50P|POSITION</v>
      </c>
      <c r="D30" s="73" t="e">
        <f>(_xlfn.NORM.S.DIST(H44,TRUE)-1)*C30*100</f>
        <v>#VALUE!</v>
      </c>
      <c r="E30" s="34"/>
      <c r="F30" s="34"/>
      <c r="G30" s="34"/>
      <c r="L30" s="2"/>
      <c r="M30" s="2"/>
      <c r="N30" s="2"/>
    </row>
    <row r="31" spans="1:14" x14ac:dyDescent="0.25">
      <c r="A31" s="46" t="s">
        <v>18</v>
      </c>
      <c r="B31" s="47">
        <f t="shared" si="1"/>
        <v>51</v>
      </c>
      <c r="C31" s="53" t="str">
        <f>RTD("rit2.rtd",,A31,"POSITION")</f>
        <v>RTM51C|POSITION</v>
      </c>
      <c r="D31" s="54" t="e">
        <f t="shared" si="0"/>
        <v>#VALUE!</v>
      </c>
      <c r="E31" s="34"/>
      <c r="F31" s="34"/>
      <c r="G31" s="34"/>
      <c r="L31" s="2"/>
      <c r="M31" s="2"/>
      <c r="N31" s="2"/>
    </row>
    <row r="32" spans="1:14" x14ac:dyDescent="0.25">
      <c r="A32" s="44" t="s">
        <v>19</v>
      </c>
      <c r="B32" s="45">
        <f t="shared" si="1"/>
        <v>51</v>
      </c>
      <c r="C32" s="51" t="str">
        <f>RTD("rit2.rtd",,A32,"POSITION")</f>
        <v>RTM51P|POSITION</v>
      </c>
      <c r="D32" s="73" t="e">
        <f>(_xlfn.NORM.S.DIST(H46,TRUE)-1)*C32*100</f>
        <v>#VALUE!</v>
      </c>
      <c r="E32" s="34"/>
      <c r="F32" s="34"/>
      <c r="G32" s="34"/>
      <c r="L32" s="2"/>
      <c r="M32" s="2"/>
      <c r="N32" s="2"/>
    </row>
    <row r="33" spans="1:14" x14ac:dyDescent="0.25">
      <c r="A33" s="46" t="s">
        <v>20</v>
      </c>
      <c r="B33" s="47">
        <f t="shared" si="1"/>
        <v>52</v>
      </c>
      <c r="C33" s="53" t="str">
        <f>RTD("rit2.rtd",,A33,"POSITION")</f>
        <v>RTM52C|POSITION</v>
      </c>
      <c r="D33" s="72" t="e">
        <f>_xlfn.NORM.S.DIST(H47,TRUE)*C33*100</f>
        <v>#VALUE!</v>
      </c>
      <c r="E33" s="34"/>
      <c r="F33" s="34"/>
      <c r="G33" s="34"/>
      <c r="L33" s="2"/>
      <c r="M33" s="2"/>
      <c r="N33" s="2"/>
    </row>
    <row r="34" spans="1:14" x14ac:dyDescent="0.25">
      <c r="A34" s="48" t="s">
        <v>21</v>
      </c>
      <c r="B34" s="49">
        <f t="shared" si="1"/>
        <v>52</v>
      </c>
      <c r="C34" s="55" t="str">
        <f>RTD("rit2.rtd",,A34,"POSITION")</f>
        <v>RTM52P|POSITION</v>
      </c>
      <c r="D34" s="74" t="e">
        <f>(_xlfn.NORM.S.DIST(H48,TRUE)-1)*C34*100</f>
        <v>#VALUE!</v>
      </c>
      <c r="E34" s="34"/>
      <c r="F34" s="34"/>
      <c r="G34" s="34"/>
      <c r="L34" s="2"/>
      <c r="M34" s="2"/>
      <c r="N34" s="2"/>
    </row>
    <row r="35" spans="1:14" x14ac:dyDescent="0.25">
      <c r="F35" s="12"/>
      <c r="G35" s="12"/>
    </row>
    <row r="36" spans="1:14" x14ac:dyDescent="0.25">
      <c r="F36" s="12"/>
      <c r="G36" s="12"/>
    </row>
    <row r="37" spans="1:14" x14ac:dyDescent="0.25">
      <c r="A37" s="81" t="s">
        <v>9</v>
      </c>
      <c r="B37" s="82"/>
      <c r="C37" s="82"/>
      <c r="D37" s="82"/>
      <c r="E37" s="82"/>
      <c r="F37" s="82"/>
      <c r="G37" s="82"/>
      <c r="H37" s="82"/>
    </row>
    <row r="38" spans="1:14" s="16" customFormat="1" ht="56.25" customHeight="1" x14ac:dyDescent="0.25">
      <c r="A38" s="13" t="s">
        <v>10</v>
      </c>
      <c r="B38" s="26" t="s">
        <v>11</v>
      </c>
      <c r="C38" s="26" t="s">
        <v>24</v>
      </c>
      <c r="D38" s="26" t="s">
        <v>25</v>
      </c>
      <c r="E38" s="14" t="s">
        <v>23</v>
      </c>
      <c r="F38" s="14" t="s">
        <v>22</v>
      </c>
      <c r="G38" s="14" t="s">
        <v>29</v>
      </c>
      <c r="H38" s="14" t="s">
        <v>43</v>
      </c>
      <c r="I38" s="35"/>
      <c r="J38" s="35"/>
      <c r="K38" s="34"/>
      <c r="L38" s="34"/>
      <c r="M38" s="34"/>
      <c r="N38" s="34"/>
    </row>
    <row r="39" spans="1:14" x14ac:dyDescent="0.25">
      <c r="A39" s="17" t="s">
        <v>12</v>
      </c>
      <c r="B39" s="18">
        <v>48</v>
      </c>
      <c r="C39" s="27" t="e">
        <f t="shared" ref="C39:C48" si="2">(1/($B$15*SQRT($B$13)))*(LN($B$8/$B39)+($B$15^2/2)*$B$13)</f>
        <v>#VALUE!</v>
      </c>
      <c r="D39" s="27" t="e">
        <f t="shared" ref="D39:D48" si="3">C39-$B$15*SQRT($B$13)</f>
        <v>#VALUE!</v>
      </c>
      <c r="E39" s="19" t="e">
        <f>$B$8*_xlfn.NORM.S.DIST(C39,TRUE)-B39*_xlfn.NORM.S.DIST(D39,TRUE)</f>
        <v>#VALUE!</v>
      </c>
      <c r="F39" s="19" t="str">
        <f>RTD("rit2.rtd",,A39,"LAST")</f>
        <v>RTM48C|LAST</v>
      </c>
      <c r="G39" s="65" t="e">
        <f>impliedvol(StockPrice,B39,Time_to_Maturity,RiskFree,F39,1)+$B$16</f>
        <v>#VALUE!</v>
      </c>
      <c r="H39" s="59" t="e">
        <f t="shared" ref="H39:H48" si="4">(1/(G39*SQRT($B$13)))*(LN($B$8/$B39)+(G39^2/2)*$B$13)</f>
        <v>#VALUE!</v>
      </c>
      <c r="I39" s="68"/>
    </row>
    <row r="40" spans="1:14" x14ac:dyDescent="0.25">
      <c r="A40" s="20" t="s">
        <v>13</v>
      </c>
      <c r="B40" s="21">
        <v>48</v>
      </c>
      <c r="C40" s="28" t="e">
        <f t="shared" si="2"/>
        <v>#VALUE!</v>
      </c>
      <c r="D40" s="28" t="e">
        <f t="shared" si="3"/>
        <v>#VALUE!</v>
      </c>
      <c r="E40" s="22" t="e">
        <f>B40*_xlfn.NORM.S.DIST(-D40,TRUE)-$B$8*_xlfn.NORM.S.DIST(-C40,TRUE)</f>
        <v>#VALUE!</v>
      </c>
      <c r="F40" s="22" t="str">
        <f>RTD("rit2.rtd",,A40,"LAST")</f>
        <v>RTM48P|LAST</v>
      </c>
      <c r="G40" s="66" t="e">
        <f>impliedvol(StockPrice,B40,Time_to_Maturity,RiskFree,F40,0)+$B$16</f>
        <v>#VALUE!</v>
      </c>
      <c r="H40" s="60" t="e">
        <f t="shared" si="4"/>
        <v>#VALUE!</v>
      </c>
      <c r="I40" s="68"/>
    </row>
    <row r="41" spans="1:14" x14ac:dyDescent="0.25">
      <c r="A41" s="17" t="s">
        <v>14</v>
      </c>
      <c r="B41" s="18">
        <f>B39+1</f>
        <v>49</v>
      </c>
      <c r="C41" s="27" t="e">
        <f t="shared" si="2"/>
        <v>#VALUE!</v>
      </c>
      <c r="D41" s="27" t="e">
        <f t="shared" si="3"/>
        <v>#VALUE!</v>
      </c>
      <c r="E41" s="19" t="e">
        <f>$B$8*_xlfn.NORM.S.DIST(C41,TRUE)-B41*_xlfn.NORM.S.DIST(D41,TRUE)</f>
        <v>#VALUE!</v>
      </c>
      <c r="F41" s="19" t="str">
        <f>RTD("rit2.rtd",,A41,"LAST")</f>
        <v>RTM49C|LAST</v>
      </c>
      <c r="G41" s="65" t="e">
        <f>impliedvol(StockPrice,B41,Time_to_Maturity,RiskFree,F41,1)+$B$16</f>
        <v>#VALUE!</v>
      </c>
      <c r="H41" s="59" t="e">
        <f t="shared" si="4"/>
        <v>#VALUE!</v>
      </c>
      <c r="I41" s="68"/>
    </row>
    <row r="42" spans="1:14" x14ac:dyDescent="0.25">
      <c r="A42" s="20" t="s">
        <v>15</v>
      </c>
      <c r="B42" s="21">
        <f t="shared" ref="B42:B48" si="5">B40+1</f>
        <v>49</v>
      </c>
      <c r="C42" s="28" t="e">
        <f t="shared" si="2"/>
        <v>#VALUE!</v>
      </c>
      <c r="D42" s="28" t="e">
        <f t="shared" si="3"/>
        <v>#VALUE!</v>
      </c>
      <c r="E42" s="33" t="e">
        <f>B42*_xlfn.NORM.S.DIST(-D42,TRUE)-$B$8*_xlfn.NORM.S.DIST(-C42,TRUE)</f>
        <v>#VALUE!</v>
      </c>
      <c r="F42" s="22" t="str">
        <f>RTD("rit2.rtd",,A42,"LAST")</f>
        <v>RTM49P|LAST</v>
      </c>
      <c r="G42" s="66" t="e">
        <f>impliedvol(StockPrice,B42,Time_to_Maturity,RiskFree,F42,0)+$B$16</f>
        <v>#VALUE!</v>
      </c>
      <c r="H42" s="60" t="e">
        <f t="shared" si="4"/>
        <v>#VALUE!</v>
      </c>
      <c r="I42" s="68"/>
    </row>
    <row r="43" spans="1:14" x14ac:dyDescent="0.25">
      <c r="A43" s="17" t="s">
        <v>16</v>
      </c>
      <c r="B43" s="18">
        <f t="shared" si="5"/>
        <v>50</v>
      </c>
      <c r="C43" s="27" t="e">
        <f t="shared" si="2"/>
        <v>#VALUE!</v>
      </c>
      <c r="D43" s="27" t="e">
        <f t="shared" si="3"/>
        <v>#VALUE!</v>
      </c>
      <c r="E43" s="19" t="e">
        <f>$B$8*_xlfn.NORM.S.DIST(C43,TRUE)-B43*_xlfn.NORM.S.DIST(D43,TRUE)</f>
        <v>#VALUE!</v>
      </c>
      <c r="F43" s="19" t="str">
        <f>RTD("rit2.rtd",,A43,"LAST")</f>
        <v>RTM50C|LAST</v>
      </c>
      <c r="G43" s="65" t="e">
        <f>impliedvol(StockPrice,B43,Time_to_Maturity,RiskFree,F43,1)+$B$16</f>
        <v>#VALUE!</v>
      </c>
      <c r="H43" s="59" t="e">
        <f t="shared" si="4"/>
        <v>#VALUE!</v>
      </c>
      <c r="I43" s="68"/>
    </row>
    <row r="44" spans="1:14" x14ac:dyDescent="0.25">
      <c r="A44" s="20" t="s">
        <v>17</v>
      </c>
      <c r="B44" s="21">
        <f t="shared" si="5"/>
        <v>50</v>
      </c>
      <c r="C44" s="28" t="e">
        <f t="shared" si="2"/>
        <v>#VALUE!</v>
      </c>
      <c r="D44" s="28" t="e">
        <f>C44-$B$15*SQRT($B$13)</f>
        <v>#VALUE!</v>
      </c>
      <c r="E44" s="22" t="e">
        <f>B44*_xlfn.NORM.S.DIST(-D44,TRUE)-$B$8*_xlfn.NORM.S.DIST(-C44,TRUE)</f>
        <v>#VALUE!</v>
      </c>
      <c r="F44" s="22" t="str">
        <f>RTD("rit2.rtd",,A44,"LAST")</f>
        <v>RTM50P|LAST</v>
      </c>
      <c r="G44" s="66" t="e">
        <f>impliedvol(StockPrice,B44,Time_to_Maturity,RiskFree,F44,0)+$B$16</f>
        <v>#VALUE!</v>
      </c>
      <c r="H44" s="60" t="e">
        <f t="shared" si="4"/>
        <v>#VALUE!</v>
      </c>
      <c r="I44" s="68"/>
    </row>
    <row r="45" spans="1:14" x14ac:dyDescent="0.25">
      <c r="A45" s="17" t="s">
        <v>18</v>
      </c>
      <c r="B45" s="18">
        <f>B43+1</f>
        <v>51</v>
      </c>
      <c r="C45" s="27" t="e">
        <f>(1/($B$15*SQRT($B$13)))*(LN($B$8/$B45)+($B$15^2/2)*$B$13)</f>
        <v>#VALUE!</v>
      </c>
      <c r="D45" s="27" t="e">
        <f t="shared" si="3"/>
        <v>#VALUE!</v>
      </c>
      <c r="E45" s="19" t="e">
        <f>$B$8*_xlfn.NORM.S.DIST(C45,TRUE)-B45*_xlfn.NORM.S.DIST(D45,TRUE)</f>
        <v>#VALUE!</v>
      </c>
      <c r="F45" s="19" t="str">
        <f>RTD("rit2.rtd",,A45,"LAST")</f>
        <v>RTM51C|LAST</v>
      </c>
      <c r="G45" s="65" t="e">
        <f>impliedvol(StockPrice,B45,Time_to_Maturity,RiskFree,F45,1)+$B$16</f>
        <v>#VALUE!</v>
      </c>
      <c r="H45" s="59" t="e">
        <f t="shared" si="4"/>
        <v>#VALUE!</v>
      </c>
      <c r="I45" s="68"/>
    </row>
    <row r="46" spans="1:14" x14ac:dyDescent="0.25">
      <c r="A46" s="20" t="s">
        <v>19</v>
      </c>
      <c r="B46" s="21">
        <f t="shared" si="5"/>
        <v>51</v>
      </c>
      <c r="C46" s="28" t="e">
        <f t="shared" si="2"/>
        <v>#VALUE!</v>
      </c>
      <c r="D46" s="28" t="e">
        <f t="shared" si="3"/>
        <v>#VALUE!</v>
      </c>
      <c r="E46" s="22" t="e">
        <f>B46*_xlfn.NORM.S.DIST(-D46,TRUE)-$B$8*_xlfn.NORM.S.DIST(-C46,TRUE)</f>
        <v>#VALUE!</v>
      </c>
      <c r="F46" s="22" t="str">
        <f>RTD("rit2.rtd",,A46,"LAST")</f>
        <v>RTM51P|LAST</v>
      </c>
      <c r="G46" s="66" t="e">
        <f>impliedvol(StockPrice,B46,Time_to_Maturity,RiskFree,F46,0)+$B$16</f>
        <v>#VALUE!</v>
      </c>
      <c r="H46" s="60" t="e">
        <f t="shared" si="4"/>
        <v>#VALUE!</v>
      </c>
      <c r="I46" s="68"/>
    </row>
    <row r="47" spans="1:14" x14ac:dyDescent="0.25">
      <c r="A47" s="17" t="s">
        <v>20</v>
      </c>
      <c r="B47" s="18">
        <f t="shared" si="5"/>
        <v>52</v>
      </c>
      <c r="C47" s="27" t="e">
        <f t="shared" si="2"/>
        <v>#VALUE!</v>
      </c>
      <c r="D47" s="27" t="e">
        <f t="shared" si="3"/>
        <v>#VALUE!</v>
      </c>
      <c r="E47" s="19" t="e">
        <f>$B$8*_xlfn.NORM.S.DIST(C47,TRUE)-B47*_xlfn.NORM.S.DIST(D47,TRUE)</f>
        <v>#VALUE!</v>
      </c>
      <c r="F47" s="19" t="str">
        <f>RTD("rit2.rtd",,A47,"LAST")</f>
        <v>RTM52C|LAST</v>
      </c>
      <c r="G47" s="65" t="e">
        <f>impliedvol(StockPrice,B47,Time_to_Maturity,RiskFree,F47,1)+$B$16</f>
        <v>#VALUE!</v>
      </c>
      <c r="H47" s="59" t="e">
        <f t="shared" si="4"/>
        <v>#VALUE!</v>
      </c>
      <c r="I47" s="68"/>
    </row>
    <row r="48" spans="1:14" x14ac:dyDescent="0.25">
      <c r="A48" s="23" t="s">
        <v>21</v>
      </c>
      <c r="B48" s="24">
        <f t="shared" si="5"/>
        <v>52</v>
      </c>
      <c r="C48" s="29" t="e">
        <f t="shared" si="2"/>
        <v>#VALUE!</v>
      </c>
      <c r="D48" s="29" t="e">
        <f t="shared" si="3"/>
        <v>#VALUE!</v>
      </c>
      <c r="E48" s="25" t="e">
        <f>B48*_xlfn.NORM.S.DIST(-D48,TRUE)-$B$8*_xlfn.NORM.S.DIST(-C48,TRUE)</f>
        <v>#VALUE!</v>
      </c>
      <c r="F48" s="25" t="str">
        <f>RTD("rit2.rtd",,A48,"LAST")</f>
        <v>RTM52P|LAST</v>
      </c>
      <c r="G48" s="67" t="e">
        <f>impliedvol(StockPrice,B48,Time_to_Maturity,RiskFree,F48,0)+$B$16</f>
        <v>#VALUE!</v>
      </c>
      <c r="H48" s="61" t="e">
        <f t="shared" si="4"/>
        <v>#VALUE!</v>
      </c>
      <c r="I48" s="68"/>
    </row>
  </sheetData>
  <mergeCells count="4">
    <mergeCell ref="A6:B6"/>
    <mergeCell ref="A11:B11"/>
    <mergeCell ref="C15:D15"/>
    <mergeCell ref="A37:H37"/>
  </mergeCells>
  <pageMargins left="0.7" right="0.7" top="0.75" bottom="0.75" header="0.3" footer="0.3"/>
  <pageSetup orientation="portrait" verticalDpi="597" r:id="rId1"/>
  <ignoredErrors>
    <ignoredError sqref="E41:E4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Blink">
                <anchor moveWithCells="1" sizeWithCells="1">
                  <from>
                    <xdr:col>4</xdr:col>
                    <xdr:colOff>838200</xdr:colOff>
                    <xdr:row>30</xdr:row>
                    <xdr:rowOff>47625</xdr:rowOff>
                  </from>
                  <to>
                    <xdr:col>8</xdr:col>
                    <xdr:colOff>171450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01"/>
  <sheetViews>
    <sheetView workbookViewId="0">
      <selection activeCell="K3" sqref="K3"/>
    </sheetView>
  </sheetViews>
  <sheetFormatPr defaultRowHeight="15" x14ac:dyDescent="0.25"/>
  <cols>
    <col min="4" max="4" width="12.7109375" bestFit="1" customWidth="1"/>
    <col min="8" max="8" width="17.7109375" style="56" bestFit="1" customWidth="1"/>
    <col min="9" max="9" width="9.5703125" style="56" customWidth="1"/>
  </cols>
  <sheetData>
    <row r="1" spans="1:11" x14ac:dyDescent="0.25">
      <c r="A1" t="s">
        <v>35</v>
      </c>
      <c r="B1">
        <v>0</v>
      </c>
    </row>
    <row r="2" spans="1:11" x14ac:dyDescent="0.25">
      <c r="A2">
        <v>1</v>
      </c>
      <c r="C2">
        <v>0</v>
      </c>
      <c r="D2">
        <f>C2+'Excel Support'!$H$29</f>
        <v>7000</v>
      </c>
      <c r="E2">
        <f>C2-'Excel Support'!$H$29</f>
        <v>-7000</v>
      </c>
      <c r="H2" s="56" t="s">
        <v>36</v>
      </c>
      <c r="I2" s="56" t="str">
        <f>LEFT(RTD("rit2.rtd",,"LATESTNEWS",1),5)</f>
        <v>LATES</v>
      </c>
      <c r="K2" t="s">
        <v>37</v>
      </c>
    </row>
    <row r="3" spans="1:11" x14ac:dyDescent="0.25">
      <c r="A3">
        <f t="shared" ref="A3:A66" si="0">A2+1</f>
        <v>2</v>
      </c>
      <c r="C3">
        <v>0</v>
      </c>
      <c r="D3">
        <f>C3+'Excel Support'!$H$29</f>
        <v>7000</v>
      </c>
      <c r="E3">
        <f>C3-'Excel Support'!$H$29</f>
        <v>-7000</v>
      </c>
      <c r="H3" s="56" t="s">
        <v>38</v>
      </c>
      <c r="I3" s="56" t="s">
        <v>41</v>
      </c>
      <c r="K3" t="e">
        <f>600-RTD("rit2.rtd",,"TIMEREMAINING")</f>
        <v>#VALUE!</v>
      </c>
    </row>
    <row r="4" spans="1:11" x14ac:dyDescent="0.25">
      <c r="A4">
        <f t="shared" si="0"/>
        <v>3</v>
      </c>
      <c r="C4">
        <v>0</v>
      </c>
      <c r="D4">
        <f>C4+'Excel Support'!$H$29</f>
        <v>7000</v>
      </c>
      <c r="E4">
        <f>C4-'Excel Support'!$H$29</f>
        <v>-7000</v>
      </c>
    </row>
    <row r="5" spans="1:11" x14ac:dyDescent="0.25">
      <c r="A5">
        <f t="shared" si="0"/>
        <v>4</v>
      </c>
      <c r="C5">
        <v>0</v>
      </c>
      <c r="D5">
        <f>C5+'Excel Support'!$H$29</f>
        <v>7000</v>
      </c>
      <c r="E5">
        <f>C5-'Excel Support'!$H$29</f>
        <v>-7000</v>
      </c>
      <c r="H5" s="56" t="s">
        <v>39</v>
      </c>
      <c r="I5" s="56" t="e">
        <f>IF(currenttick=0,0,IF(currenttick&lt;5,1,0))</f>
        <v>#VALUE!</v>
      </c>
    </row>
    <row r="6" spans="1:11" x14ac:dyDescent="0.25">
      <c r="A6">
        <f t="shared" si="0"/>
        <v>5</v>
      </c>
      <c r="C6">
        <v>0</v>
      </c>
      <c r="D6">
        <f>C6+'Excel Support'!$H$29</f>
        <v>7000</v>
      </c>
      <c r="E6">
        <f>C6-'Excel Support'!$H$29</f>
        <v>-7000</v>
      </c>
    </row>
    <row r="7" spans="1:11" x14ac:dyDescent="0.25">
      <c r="A7">
        <f t="shared" si="0"/>
        <v>6</v>
      </c>
      <c r="C7">
        <v>0</v>
      </c>
      <c r="D7">
        <f>C7+'Excel Support'!$H$29</f>
        <v>7000</v>
      </c>
      <c r="E7">
        <f>C7-'Excel Support'!$H$29</f>
        <v>-7000</v>
      </c>
    </row>
    <row r="8" spans="1:11" x14ac:dyDescent="0.25">
      <c r="A8">
        <f t="shared" si="0"/>
        <v>7</v>
      </c>
      <c r="C8">
        <v>0</v>
      </c>
      <c r="D8">
        <f>C8+'Excel Support'!$H$29</f>
        <v>7000</v>
      </c>
      <c r="E8">
        <f>C8-'Excel Support'!$H$29</f>
        <v>-7000</v>
      </c>
    </row>
    <row r="9" spans="1:11" x14ac:dyDescent="0.25">
      <c r="A9">
        <f t="shared" si="0"/>
        <v>8</v>
      </c>
      <c r="C9">
        <v>0</v>
      </c>
      <c r="D9">
        <f>C9+'Excel Support'!$H$29</f>
        <v>7000</v>
      </c>
      <c r="E9">
        <f>C9-'Excel Support'!$H$29</f>
        <v>-7000</v>
      </c>
    </row>
    <row r="10" spans="1:11" x14ac:dyDescent="0.25">
      <c r="A10">
        <f t="shared" si="0"/>
        <v>9</v>
      </c>
      <c r="C10">
        <v>0</v>
      </c>
      <c r="D10">
        <f>C10+'Excel Support'!$H$29</f>
        <v>7000</v>
      </c>
      <c r="E10">
        <f>C10-'Excel Support'!$H$29</f>
        <v>-7000</v>
      </c>
    </row>
    <row r="11" spans="1:11" x14ac:dyDescent="0.25">
      <c r="A11">
        <f t="shared" si="0"/>
        <v>10</v>
      </c>
      <c r="C11">
        <v>0</v>
      </c>
      <c r="D11">
        <f>C11+'Excel Support'!$H$29</f>
        <v>7000</v>
      </c>
      <c r="E11">
        <f>C11-'Excel Support'!$H$29</f>
        <v>-7000</v>
      </c>
    </row>
    <row r="12" spans="1:11" x14ac:dyDescent="0.25">
      <c r="A12">
        <f t="shared" si="0"/>
        <v>11</v>
      </c>
      <c r="C12">
        <v>0</v>
      </c>
      <c r="D12">
        <f>C12+'Excel Support'!$H$29</f>
        <v>7000</v>
      </c>
      <c r="E12">
        <f>C12-'Excel Support'!$H$29</f>
        <v>-7000</v>
      </c>
    </row>
    <row r="13" spans="1:11" x14ac:dyDescent="0.25">
      <c r="A13">
        <f t="shared" si="0"/>
        <v>12</v>
      </c>
      <c r="C13">
        <v>0</v>
      </c>
      <c r="D13">
        <f>C13+'Excel Support'!$H$29</f>
        <v>7000</v>
      </c>
      <c r="E13">
        <f>C13-'Excel Support'!$H$29</f>
        <v>-7000</v>
      </c>
    </row>
    <row r="14" spans="1:11" x14ac:dyDescent="0.25">
      <c r="A14">
        <f t="shared" si="0"/>
        <v>13</v>
      </c>
      <c r="C14">
        <v>0</v>
      </c>
      <c r="D14">
        <f>C14+'Excel Support'!$H$29</f>
        <v>7000</v>
      </c>
      <c r="E14">
        <f>C14-'Excel Support'!$H$29</f>
        <v>-7000</v>
      </c>
    </row>
    <row r="15" spans="1:11" x14ac:dyDescent="0.25">
      <c r="A15">
        <f t="shared" si="0"/>
        <v>14</v>
      </c>
      <c r="C15">
        <v>0</v>
      </c>
      <c r="D15">
        <f>C15+'Excel Support'!$H$29</f>
        <v>7000</v>
      </c>
      <c r="E15">
        <f>C15-'Excel Support'!$H$29</f>
        <v>-7000</v>
      </c>
    </row>
    <row r="16" spans="1:11" x14ac:dyDescent="0.25">
      <c r="A16">
        <f t="shared" si="0"/>
        <v>15</v>
      </c>
      <c r="C16">
        <v>0</v>
      </c>
      <c r="D16">
        <f>C16+'Excel Support'!$H$29</f>
        <v>7000</v>
      </c>
      <c r="E16">
        <f>C16-'Excel Support'!$H$29</f>
        <v>-7000</v>
      </c>
    </row>
    <row r="17" spans="1:5" x14ac:dyDescent="0.25">
      <c r="A17">
        <f t="shared" si="0"/>
        <v>16</v>
      </c>
      <c r="C17">
        <v>0</v>
      </c>
      <c r="D17">
        <f>C17+'Excel Support'!$H$29</f>
        <v>7000</v>
      </c>
      <c r="E17">
        <f>C17-'Excel Support'!$H$29</f>
        <v>-7000</v>
      </c>
    </row>
    <row r="18" spans="1:5" x14ac:dyDescent="0.25">
      <c r="A18">
        <f t="shared" si="0"/>
        <v>17</v>
      </c>
      <c r="C18">
        <v>0</v>
      </c>
      <c r="D18">
        <f>C18+'Excel Support'!$H$29</f>
        <v>7000</v>
      </c>
      <c r="E18">
        <f>C18-'Excel Support'!$H$29</f>
        <v>-7000</v>
      </c>
    </row>
    <row r="19" spans="1:5" x14ac:dyDescent="0.25">
      <c r="A19">
        <f t="shared" si="0"/>
        <v>18</v>
      </c>
      <c r="C19">
        <v>0</v>
      </c>
      <c r="D19">
        <f>C19+'Excel Support'!$H$29</f>
        <v>7000</v>
      </c>
      <c r="E19">
        <f>C19-'Excel Support'!$H$29</f>
        <v>-7000</v>
      </c>
    </row>
    <row r="20" spans="1:5" x14ac:dyDescent="0.25">
      <c r="A20">
        <f t="shared" si="0"/>
        <v>19</v>
      </c>
      <c r="C20">
        <v>0</v>
      </c>
      <c r="D20">
        <f>C20+'Excel Support'!$H$29</f>
        <v>7000</v>
      </c>
      <c r="E20">
        <f>C20-'Excel Support'!$H$29</f>
        <v>-7000</v>
      </c>
    </row>
    <row r="21" spans="1:5" x14ac:dyDescent="0.25">
      <c r="A21">
        <f t="shared" si="0"/>
        <v>20</v>
      </c>
      <c r="C21">
        <v>0</v>
      </c>
      <c r="D21">
        <f>C21+'Excel Support'!$H$29</f>
        <v>7000</v>
      </c>
      <c r="E21">
        <f>C21-'Excel Support'!$H$29</f>
        <v>-7000</v>
      </c>
    </row>
    <row r="22" spans="1:5" x14ac:dyDescent="0.25">
      <c r="A22">
        <f t="shared" si="0"/>
        <v>21</v>
      </c>
      <c r="C22">
        <v>0</v>
      </c>
      <c r="D22">
        <f>C22+'Excel Support'!$H$29</f>
        <v>7000</v>
      </c>
      <c r="E22">
        <f>C22-'Excel Support'!$H$29</f>
        <v>-7000</v>
      </c>
    </row>
    <row r="23" spans="1:5" x14ac:dyDescent="0.25">
      <c r="A23">
        <f t="shared" si="0"/>
        <v>22</v>
      </c>
      <c r="C23">
        <v>0</v>
      </c>
      <c r="D23">
        <f>C23+'Excel Support'!$H$29</f>
        <v>7000</v>
      </c>
      <c r="E23">
        <f>C23-'Excel Support'!$H$29</f>
        <v>-7000</v>
      </c>
    </row>
    <row r="24" spans="1:5" x14ac:dyDescent="0.25">
      <c r="A24">
        <f t="shared" si="0"/>
        <v>23</v>
      </c>
      <c r="C24">
        <v>0</v>
      </c>
      <c r="D24">
        <f>C24+'Excel Support'!$H$29</f>
        <v>7000</v>
      </c>
      <c r="E24">
        <f>C24-'Excel Support'!$H$29</f>
        <v>-7000</v>
      </c>
    </row>
    <row r="25" spans="1:5" x14ac:dyDescent="0.25">
      <c r="A25">
        <f t="shared" si="0"/>
        <v>24</v>
      </c>
      <c r="C25">
        <v>0</v>
      </c>
      <c r="D25">
        <f>C25+'Excel Support'!$H$29</f>
        <v>7000</v>
      </c>
      <c r="E25">
        <f>C25-'Excel Support'!$H$29</f>
        <v>-7000</v>
      </c>
    </row>
    <row r="26" spans="1:5" x14ac:dyDescent="0.25">
      <c r="A26">
        <f t="shared" si="0"/>
        <v>25</v>
      </c>
      <c r="C26">
        <v>0</v>
      </c>
      <c r="D26">
        <f>C26+'Excel Support'!$H$29</f>
        <v>7000</v>
      </c>
      <c r="E26">
        <f>C26-'Excel Support'!$H$29</f>
        <v>-7000</v>
      </c>
    </row>
    <row r="27" spans="1:5" x14ac:dyDescent="0.25">
      <c r="A27">
        <f t="shared" si="0"/>
        <v>26</v>
      </c>
      <c r="C27">
        <v>0</v>
      </c>
      <c r="D27">
        <f>C27+'Excel Support'!$H$29</f>
        <v>7000</v>
      </c>
      <c r="E27">
        <f>C27-'Excel Support'!$H$29</f>
        <v>-7000</v>
      </c>
    </row>
    <row r="28" spans="1:5" x14ac:dyDescent="0.25">
      <c r="A28">
        <f t="shared" si="0"/>
        <v>27</v>
      </c>
      <c r="C28">
        <v>0</v>
      </c>
      <c r="D28">
        <f>C28+'Excel Support'!$H$29</f>
        <v>7000</v>
      </c>
      <c r="E28">
        <f>C28-'Excel Support'!$H$29</f>
        <v>-7000</v>
      </c>
    </row>
    <row r="29" spans="1:5" x14ac:dyDescent="0.25">
      <c r="A29">
        <f t="shared" si="0"/>
        <v>28</v>
      </c>
      <c r="C29">
        <v>0</v>
      </c>
      <c r="D29">
        <f>C29+'Excel Support'!$H$29</f>
        <v>7000</v>
      </c>
      <c r="E29">
        <f>C29-'Excel Support'!$H$29</f>
        <v>-7000</v>
      </c>
    </row>
    <row r="30" spans="1:5" x14ac:dyDescent="0.25">
      <c r="A30">
        <f t="shared" si="0"/>
        <v>29</v>
      </c>
      <c r="C30">
        <v>0</v>
      </c>
      <c r="D30">
        <f>C30+'Excel Support'!$H$29</f>
        <v>7000</v>
      </c>
      <c r="E30">
        <f>C30-'Excel Support'!$H$29</f>
        <v>-7000</v>
      </c>
    </row>
    <row r="31" spans="1:5" x14ac:dyDescent="0.25">
      <c r="A31">
        <f t="shared" si="0"/>
        <v>30</v>
      </c>
      <c r="C31">
        <v>0</v>
      </c>
      <c r="D31">
        <f>C31+'Excel Support'!$H$29</f>
        <v>7000</v>
      </c>
      <c r="E31">
        <f>C31-'Excel Support'!$H$29</f>
        <v>-7000</v>
      </c>
    </row>
    <row r="32" spans="1:5" x14ac:dyDescent="0.25">
      <c r="A32">
        <f t="shared" si="0"/>
        <v>31</v>
      </c>
      <c r="C32">
        <v>0</v>
      </c>
      <c r="D32">
        <f>C32+'Excel Support'!$H$29</f>
        <v>7000</v>
      </c>
      <c r="E32">
        <f>C32-'Excel Support'!$H$29</f>
        <v>-7000</v>
      </c>
    </row>
    <row r="33" spans="1:5" x14ac:dyDescent="0.25">
      <c r="A33">
        <f t="shared" si="0"/>
        <v>32</v>
      </c>
      <c r="C33">
        <v>0</v>
      </c>
      <c r="D33">
        <f>C33+'Excel Support'!$H$29</f>
        <v>7000</v>
      </c>
      <c r="E33">
        <f>C33-'Excel Support'!$H$29</f>
        <v>-7000</v>
      </c>
    </row>
    <row r="34" spans="1:5" x14ac:dyDescent="0.25">
      <c r="A34">
        <f t="shared" si="0"/>
        <v>33</v>
      </c>
      <c r="C34">
        <v>0</v>
      </c>
      <c r="D34">
        <f>C34+'Excel Support'!$H$29</f>
        <v>7000</v>
      </c>
      <c r="E34">
        <f>C34-'Excel Support'!$H$29</f>
        <v>-7000</v>
      </c>
    </row>
    <row r="35" spans="1:5" x14ac:dyDescent="0.25">
      <c r="A35">
        <f t="shared" si="0"/>
        <v>34</v>
      </c>
      <c r="C35">
        <v>0</v>
      </c>
      <c r="D35">
        <f>C35+'Excel Support'!$H$29</f>
        <v>7000</v>
      </c>
      <c r="E35">
        <f>C35-'Excel Support'!$H$29</f>
        <v>-7000</v>
      </c>
    </row>
    <row r="36" spans="1:5" x14ac:dyDescent="0.25">
      <c r="A36">
        <f t="shared" si="0"/>
        <v>35</v>
      </c>
      <c r="C36">
        <v>0</v>
      </c>
      <c r="D36">
        <f>C36+'Excel Support'!$H$29</f>
        <v>7000</v>
      </c>
      <c r="E36">
        <f>C36-'Excel Support'!$H$29</f>
        <v>-7000</v>
      </c>
    </row>
    <row r="37" spans="1:5" x14ac:dyDescent="0.25">
      <c r="A37">
        <f t="shared" si="0"/>
        <v>36</v>
      </c>
      <c r="C37">
        <v>0</v>
      </c>
      <c r="D37">
        <f>C37+'Excel Support'!$H$29</f>
        <v>7000</v>
      </c>
      <c r="E37">
        <f>C37-'Excel Support'!$H$29</f>
        <v>-7000</v>
      </c>
    </row>
    <row r="38" spans="1:5" x14ac:dyDescent="0.25">
      <c r="A38">
        <f t="shared" si="0"/>
        <v>37</v>
      </c>
      <c r="C38">
        <v>0</v>
      </c>
      <c r="D38">
        <f>C38+'Excel Support'!$H$29</f>
        <v>7000</v>
      </c>
      <c r="E38">
        <f>C38-'Excel Support'!$H$29</f>
        <v>-7000</v>
      </c>
    </row>
    <row r="39" spans="1:5" x14ac:dyDescent="0.25">
      <c r="A39">
        <f t="shared" si="0"/>
        <v>38</v>
      </c>
      <c r="C39">
        <v>0</v>
      </c>
      <c r="D39">
        <f>C39+'Excel Support'!$H$29</f>
        <v>7000</v>
      </c>
      <c r="E39">
        <f>C39-'Excel Support'!$H$29</f>
        <v>-7000</v>
      </c>
    </row>
    <row r="40" spans="1:5" x14ac:dyDescent="0.25">
      <c r="A40">
        <f t="shared" si="0"/>
        <v>39</v>
      </c>
      <c r="C40">
        <v>0</v>
      </c>
      <c r="D40">
        <f>C40+'Excel Support'!$H$29</f>
        <v>7000</v>
      </c>
      <c r="E40">
        <f>C40-'Excel Support'!$H$29</f>
        <v>-7000</v>
      </c>
    </row>
    <row r="41" spans="1:5" x14ac:dyDescent="0.25">
      <c r="A41">
        <f t="shared" si="0"/>
        <v>40</v>
      </c>
      <c r="C41">
        <v>0</v>
      </c>
      <c r="D41">
        <f>C41+'Excel Support'!$H$29</f>
        <v>7000</v>
      </c>
      <c r="E41">
        <f>C41-'Excel Support'!$H$29</f>
        <v>-7000</v>
      </c>
    </row>
    <row r="42" spans="1:5" x14ac:dyDescent="0.25">
      <c r="A42">
        <f t="shared" si="0"/>
        <v>41</v>
      </c>
      <c r="C42">
        <v>0</v>
      </c>
      <c r="D42">
        <f>C42+'Excel Support'!$H$29</f>
        <v>7000</v>
      </c>
      <c r="E42">
        <f>C42-'Excel Support'!$H$29</f>
        <v>-7000</v>
      </c>
    </row>
    <row r="43" spans="1:5" x14ac:dyDescent="0.25">
      <c r="A43">
        <f t="shared" si="0"/>
        <v>42</v>
      </c>
      <c r="C43">
        <v>0</v>
      </c>
      <c r="D43">
        <f>C43+'Excel Support'!$H$29</f>
        <v>7000</v>
      </c>
      <c r="E43">
        <f>C43-'Excel Support'!$H$29</f>
        <v>-7000</v>
      </c>
    </row>
    <row r="44" spans="1:5" x14ac:dyDescent="0.25">
      <c r="A44">
        <f t="shared" si="0"/>
        <v>43</v>
      </c>
      <c r="C44">
        <v>0</v>
      </c>
      <c r="D44">
        <f>C44+'Excel Support'!$H$29</f>
        <v>7000</v>
      </c>
      <c r="E44">
        <f>C44-'Excel Support'!$H$29</f>
        <v>-7000</v>
      </c>
    </row>
    <row r="45" spans="1:5" x14ac:dyDescent="0.25">
      <c r="A45">
        <f t="shared" si="0"/>
        <v>44</v>
      </c>
      <c r="C45">
        <v>0</v>
      </c>
      <c r="D45">
        <f>C45+'Excel Support'!$H$29</f>
        <v>7000</v>
      </c>
      <c r="E45">
        <f>C45-'Excel Support'!$H$29</f>
        <v>-7000</v>
      </c>
    </row>
    <row r="46" spans="1:5" x14ac:dyDescent="0.25">
      <c r="A46">
        <f t="shared" si="0"/>
        <v>45</v>
      </c>
      <c r="C46">
        <v>0</v>
      </c>
      <c r="D46">
        <f>C46+'Excel Support'!$H$29</f>
        <v>7000</v>
      </c>
      <c r="E46">
        <f>C46-'Excel Support'!$H$29</f>
        <v>-7000</v>
      </c>
    </row>
    <row r="47" spans="1:5" x14ac:dyDescent="0.25">
      <c r="A47">
        <f t="shared" si="0"/>
        <v>46</v>
      </c>
      <c r="C47">
        <v>0</v>
      </c>
      <c r="D47">
        <f>C47+'Excel Support'!$H$29</f>
        <v>7000</v>
      </c>
      <c r="E47">
        <f>C47-'Excel Support'!$H$29</f>
        <v>-7000</v>
      </c>
    </row>
    <row r="48" spans="1:5" x14ac:dyDescent="0.25">
      <c r="A48">
        <f t="shared" si="0"/>
        <v>47</v>
      </c>
      <c r="C48">
        <v>0</v>
      </c>
      <c r="D48">
        <f>C48+'Excel Support'!$H$29</f>
        <v>7000</v>
      </c>
      <c r="E48">
        <f>C48-'Excel Support'!$H$29</f>
        <v>-7000</v>
      </c>
    </row>
    <row r="49" spans="1:5" x14ac:dyDescent="0.25">
      <c r="A49">
        <f t="shared" si="0"/>
        <v>48</v>
      </c>
      <c r="C49">
        <v>0</v>
      </c>
      <c r="D49">
        <f>C49+'Excel Support'!$H$29</f>
        <v>7000</v>
      </c>
      <c r="E49">
        <f>C49-'Excel Support'!$H$29</f>
        <v>-7000</v>
      </c>
    </row>
    <row r="50" spans="1:5" x14ac:dyDescent="0.25">
      <c r="A50">
        <f t="shared" si="0"/>
        <v>49</v>
      </c>
      <c r="C50">
        <v>0</v>
      </c>
      <c r="D50">
        <f>C50+'Excel Support'!$H$29</f>
        <v>7000</v>
      </c>
      <c r="E50">
        <f>C50-'Excel Support'!$H$29</f>
        <v>-7000</v>
      </c>
    </row>
    <row r="51" spans="1:5" x14ac:dyDescent="0.25">
      <c r="A51">
        <f t="shared" si="0"/>
        <v>50</v>
      </c>
      <c r="C51">
        <v>0</v>
      </c>
      <c r="D51">
        <f>C51+'Excel Support'!$H$29</f>
        <v>7000</v>
      </c>
      <c r="E51">
        <f>C51-'Excel Support'!$H$29</f>
        <v>-7000</v>
      </c>
    </row>
    <row r="52" spans="1:5" x14ac:dyDescent="0.25">
      <c r="A52">
        <f t="shared" si="0"/>
        <v>51</v>
      </c>
      <c r="C52">
        <v>0</v>
      </c>
      <c r="D52">
        <f>C52+'Excel Support'!$H$29</f>
        <v>7000</v>
      </c>
      <c r="E52">
        <f>C52-'Excel Support'!$H$29</f>
        <v>-7000</v>
      </c>
    </row>
    <row r="53" spans="1:5" x14ac:dyDescent="0.25">
      <c r="A53">
        <f t="shared" si="0"/>
        <v>52</v>
      </c>
      <c r="C53">
        <v>0</v>
      </c>
      <c r="D53">
        <f>C53+'Excel Support'!$H$29</f>
        <v>7000</v>
      </c>
      <c r="E53">
        <f>C53-'Excel Support'!$H$29</f>
        <v>-7000</v>
      </c>
    </row>
    <row r="54" spans="1:5" x14ac:dyDescent="0.25">
      <c r="A54">
        <f t="shared" si="0"/>
        <v>53</v>
      </c>
      <c r="C54">
        <v>0</v>
      </c>
      <c r="D54">
        <f>C54+'Excel Support'!$H$29</f>
        <v>7000</v>
      </c>
      <c r="E54">
        <f>C54-'Excel Support'!$H$29</f>
        <v>-7000</v>
      </c>
    </row>
    <row r="55" spans="1:5" x14ac:dyDescent="0.25">
      <c r="A55">
        <f t="shared" si="0"/>
        <v>54</v>
      </c>
      <c r="C55">
        <v>0</v>
      </c>
      <c r="D55">
        <f>C55+'Excel Support'!$H$29</f>
        <v>7000</v>
      </c>
      <c r="E55">
        <f>C55-'Excel Support'!$H$29</f>
        <v>-7000</v>
      </c>
    </row>
    <row r="56" spans="1:5" x14ac:dyDescent="0.25">
      <c r="A56">
        <f t="shared" si="0"/>
        <v>55</v>
      </c>
      <c r="C56">
        <v>0</v>
      </c>
      <c r="D56">
        <f>C56+'Excel Support'!$H$29</f>
        <v>7000</v>
      </c>
      <c r="E56">
        <f>C56-'Excel Support'!$H$29</f>
        <v>-7000</v>
      </c>
    </row>
    <row r="57" spans="1:5" x14ac:dyDescent="0.25">
      <c r="A57">
        <f t="shared" si="0"/>
        <v>56</v>
      </c>
      <c r="C57">
        <v>0</v>
      </c>
      <c r="D57">
        <f>C57+'Excel Support'!$H$29</f>
        <v>7000</v>
      </c>
      <c r="E57">
        <f>C57-'Excel Support'!$H$29</f>
        <v>-7000</v>
      </c>
    </row>
    <row r="58" spans="1:5" x14ac:dyDescent="0.25">
      <c r="A58">
        <f t="shared" si="0"/>
        <v>57</v>
      </c>
      <c r="C58">
        <v>0</v>
      </c>
      <c r="D58">
        <f>C58+'Excel Support'!$H$29</f>
        <v>7000</v>
      </c>
      <c r="E58">
        <f>C58-'Excel Support'!$H$29</f>
        <v>-7000</v>
      </c>
    </row>
    <row r="59" spans="1:5" x14ac:dyDescent="0.25">
      <c r="A59">
        <f t="shared" si="0"/>
        <v>58</v>
      </c>
      <c r="C59">
        <v>0</v>
      </c>
      <c r="D59">
        <f>C59+'Excel Support'!$H$29</f>
        <v>7000</v>
      </c>
      <c r="E59">
        <f>C59-'Excel Support'!$H$29</f>
        <v>-7000</v>
      </c>
    </row>
    <row r="60" spans="1:5" x14ac:dyDescent="0.25">
      <c r="A60">
        <f t="shared" si="0"/>
        <v>59</v>
      </c>
      <c r="C60">
        <v>0</v>
      </c>
      <c r="D60">
        <f>C60+'Excel Support'!$H$29</f>
        <v>7000</v>
      </c>
      <c r="E60">
        <f>C60-'Excel Support'!$H$29</f>
        <v>-7000</v>
      </c>
    </row>
    <row r="61" spans="1:5" x14ac:dyDescent="0.25">
      <c r="A61">
        <f t="shared" si="0"/>
        <v>60</v>
      </c>
      <c r="C61">
        <v>0</v>
      </c>
      <c r="D61">
        <f>C61+'Excel Support'!$H$29</f>
        <v>7000</v>
      </c>
      <c r="E61">
        <f>C61-'Excel Support'!$H$29</f>
        <v>-7000</v>
      </c>
    </row>
    <row r="62" spans="1:5" x14ac:dyDescent="0.25">
      <c r="A62">
        <f t="shared" si="0"/>
        <v>61</v>
      </c>
      <c r="C62">
        <v>0</v>
      </c>
      <c r="D62">
        <f>C62+'Excel Support'!$H$29</f>
        <v>7000</v>
      </c>
      <c r="E62">
        <f>C62-'Excel Support'!$H$29</f>
        <v>-7000</v>
      </c>
    </row>
    <row r="63" spans="1:5" x14ac:dyDescent="0.25">
      <c r="A63">
        <f t="shared" si="0"/>
        <v>62</v>
      </c>
      <c r="C63">
        <v>0</v>
      </c>
      <c r="D63">
        <f>C63+'Excel Support'!$H$29</f>
        <v>7000</v>
      </c>
      <c r="E63">
        <f>C63-'Excel Support'!$H$29</f>
        <v>-7000</v>
      </c>
    </row>
    <row r="64" spans="1:5" x14ac:dyDescent="0.25">
      <c r="A64">
        <f t="shared" si="0"/>
        <v>63</v>
      </c>
      <c r="C64">
        <v>0</v>
      </c>
      <c r="D64">
        <f>C64+'Excel Support'!$H$29</f>
        <v>7000</v>
      </c>
      <c r="E64">
        <f>C64-'Excel Support'!$H$29</f>
        <v>-7000</v>
      </c>
    </row>
    <row r="65" spans="1:5" x14ac:dyDescent="0.25">
      <c r="A65">
        <f t="shared" si="0"/>
        <v>64</v>
      </c>
      <c r="C65">
        <v>0</v>
      </c>
      <c r="D65">
        <f>C65+'Excel Support'!$H$29</f>
        <v>7000</v>
      </c>
      <c r="E65">
        <f>C65-'Excel Support'!$H$29</f>
        <v>-7000</v>
      </c>
    </row>
    <row r="66" spans="1:5" x14ac:dyDescent="0.25">
      <c r="A66">
        <f t="shared" si="0"/>
        <v>65</v>
      </c>
      <c r="C66">
        <v>0</v>
      </c>
      <c r="D66">
        <f>C66+'Excel Support'!$H$29</f>
        <v>7000</v>
      </c>
      <c r="E66">
        <f>C66-'Excel Support'!$H$29</f>
        <v>-7000</v>
      </c>
    </row>
    <row r="67" spans="1:5" x14ac:dyDescent="0.25">
      <c r="A67">
        <f t="shared" ref="A67:A130" si="1">A66+1</f>
        <v>66</v>
      </c>
      <c r="C67">
        <v>0</v>
      </c>
      <c r="D67">
        <f>C67+'Excel Support'!$H$29</f>
        <v>7000</v>
      </c>
      <c r="E67">
        <f>C67-'Excel Support'!$H$29</f>
        <v>-7000</v>
      </c>
    </row>
    <row r="68" spans="1:5" x14ac:dyDescent="0.25">
      <c r="A68">
        <f t="shared" si="1"/>
        <v>67</v>
      </c>
      <c r="C68">
        <v>0</v>
      </c>
      <c r="D68">
        <f>C68+'Excel Support'!$H$29</f>
        <v>7000</v>
      </c>
      <c r="E68">
        <f>C68-'Excel Support'!$H$29</f>
        <v>-7000</v>
      </c>
    </row>
    <row r="69" spans="1:5" x14ac:dyDescent="0.25">
      <c r="A69">
        <f t="shared" si="1"/>
        <v>68</v>
      </c>
      <c r="C69">
        <v>0</v>
      </c>
      <c r="D69">
        <f>C69+'Excel Support'!$H$29</f>
        <v>7000</v>
      </c>
      <c r="E69">
        <f>C69-'Excel Support'!$H$29</f>
        <v>-7000</v>
      </c>
    </row>
    <row r="70" spans="1:5" x14ac:dyDescent="0.25">
      <c r="A70">
        <f t="shared" si="1"/>
        <v>69</v>
      </c>
      <c r="C70">
        <v>0</v>
      </c>
      <c r="D70">
        <f>C70+'Excel Support'!$H$29</f>
        <v>7000</v>
      </c>
      <c r="E70">
        <f>C70-'Excel Support'!$H$29</f>
        <v>-7000</v>
      </c>
    </row>
    <row r="71" spans="1:5" x14ac:dyDescent="0.25">
      <c r="A71">
        <f t="shared" si="1"/>
        <v>70</v>
      </c>
      <c r="C71">
        <v>0</v>
      </c>
      <c r="D71">
        <f>C71+'Excel Support'!$H$29</f>
        <v>7000</v>
      </c>
      <c r="E71">
        <f>C71-'Excel Support'!$H$29</f>
        <v>-7000</v>
      </c>
    </row>
    <row r="72" spans="1:5" x14ac:dyDescent="0.25">
      <c r="A72">
        <f t="shared" si="1"/>
        <v>71</v>
      </c>
      <c r="C72">
        <v>0</v>
      </c>
      <c r="D72">
        <f>C72+'Excel Support'!$H$29</f>
        <v>7000</v>
      </c>
      <c r="E72">
        <f>C72-'Excel Support'!$H$29</f>
        <v>-7000</v>
      </c>
    </row>
    <row r="73" spans="1:5" x14ac:dyDescent="0.25">
      <c r="A73">
        <f t="shared" si="1"/>
        <v>72</v>
      </c>
      <c r="C73">
        <v>0</v>
      </c>
      <c r="D73">
        <f>C73+'Excel Support'!$H$29</f>
        <v>7000</v>
      </c>
      <c r="E73">
        <f>C73-'Excel Support'!$H$29</f>
        <v>-7000</v>
      </c>
    </row>
    <row r="74" spans="1:5" x14ac:dyDescent="0.25">
      <c r="A74">
        <f t="shared" si="1"/>
        <v>73</v>
      </c>
      <c r="C74">
        <v>0</v>
      </c>
      <c r="D74">
        <f>C74+'Excel Support'!$H$29</f>
        <v>7000</v>
      </c>
      <c r="E74">
        <f>C74-'Excel Support'!$H$29</f>
        <v>-7000</v>
      </c>
    </row>
    <row r="75" spans="1:5" x14ac:dyDescent="0.25">
      <c r="A75">
        <f t="shared" si="1"/>
        <v>74</v>
      </c>
      <c r="C75">
        <v>0</v>
      </c>
      <c r="D75">
        <f>C75+'Excel Support'!$H$29</f>
        <v>7000</v>
      </c>
      <c r="E75">
        <f>C75-'Excel Support'!$H$29</f>
        <v>-7000</v>
      </c>
    </row>
    <row r="76" spans="1:5" x14ac:dyDescent="0.25">
      <c r="A76">
        <f t="shared" si="1"/>
        <v>75</v>
      </c>
      <c r="C76">
        <v>0</v>
      </c>
      <c r="D76">
        <f>C76+'Excel Support'!$H$29</f>
        <v>7000</v>
      </c>
      <c r="E76">
        <f>C76-'Excel Support'!$H$29</f>
        <v>-7000</v>
      </c>
    </row>
    <row r="77" spans="1:5" x14ac:dyDescent="0.25">
      <c r="A77">
        <f t="shared" si="1"/>
        <v>76</v>
      </c>
      <c r="C77">
        <v>0</v>
      </c>
      <c r="D77">
        <f>C77+'Excel Support'!$H$29</f>
        <v>7000</v>
      </c>
      <c r="E77">
        <f>C77-'Excel Support'!$H$29</f>
        <v>-7000</v>
      </c>
    </row>
    <row r="78" spans="1:5" x14ac:dyDescent="0.25">
      <c r="A78">
        <f t="shared" si="1"/>
        <v>77</v>
      </c>
      <c r="C78">
        <v>0</v>
      </c>
      <c r="D78">
        <f>C78+'Excel Support'!$H$29</f>
        <v>7000</v>
      </c>
      <c r="E78">
        <f>C78-'Excel Support'!$H$29</f>
        <v>-7000</v>
      </c>
    </row>
    <row r="79" spans="1:5" x14ac:dyDescent="0.25">
      <c r="A79">
        <f t="shared" si="1"/>
        <v>78</v>
      </c>
      <c r="C79">
        <v>0</v>
      </c>
      <c r="D79">
        <f>C79+'Excel Support'!$H$29</f>
        <v>7000</v>
      </c>
      <c r="E79">
        <f>C79-'Excel Support'!$H$29</f>
        <v>-7000</v>
      </c>
    </row>
    <row r="80" spans="1:5" x14ac:dyDescent="0.25">
      <c r="A80">
        <f t="shared" si="1"/>
        <v>79</v>
      </c>
      <c r="C80">
        <v>0</v>
      </c>
      <c r="D80">
        <f>C80+'Excel Support'!$H$29</f>
        <v>7000</v>
      </c>
      <c r="E80">
        <f>C80-'Excel Support'!$H$29</f>
        <v>-7000</v>
      </c>
    </row>
    <row r="81" spans="1:5" x14ac:dyDescent="0.25">
      <c r="A81">
        <f t="shared" si="1"/>
        <v>80</v>
      </c>
      <c r="C81">
        <v>0</v>
      </c>
      <c r="D81">
        <f>C81+'Excel Support'!$H$29</f>
        <v>7000</v>
      </c>
      <c r="E81">
        <f>C81-'Excel Support'!$H$29</f>
        <v>-7000</v>
      </c>
    </row>
    <row r="82" spans="1:5" x14ac:dyDescent="0.25">
      <c r="A82">
        <f t="shared" si="1"/>
        <v>81</v>
      </c>
      <c r="C82">
        <v>0</v>
      </c>
      <c r="D82">
        <f>C82+'Excel Support'!$H$29</f>
        <v>7000</v>
      </c>
      <c r="E82">
        <f>C82-'Excel Support'!$H$29</f>
        <v>-7000</v>
      </c>
    </row>
    <row r="83" spans="1:5" x14ac:dyDescent="0.25">
      <c r="A83">
        <f t="shared" si="1"/>
        <v>82</v>
      </c>
      <c r="C83">
        <v>0</v>
      </c>
      <c r="D83">
        <f>C83+'Excel Support'!$H$29</f>
        <v>7000</v>
      </c>
      <c r="E83">
        <f>C83-'Excel Support'!$H$29</f>
        <v>-7000</v>
      </c>
    </row>
    <row r="84" spans="1:5" x14ac:dyDescent="0.25">
      <c r="A84">
        <f t="shared" si="1"/>
        <v>83</v>
      </c>
      <c r="C84">
        <v>0</v>
      </c>
      <c r="D84">
        <f>C84+'Excel Support'!$H$29</f>
        <v>7000</v>
      </c>
      <c r="E84">
        <f>C84-'Excel Support'!$H$29</f>
        <v>-7000</v>
      </c>
    </row>
    <row r="85" spans="1:5" x14ac:dyDescent="0.25">
      <c r="A85">
        <f t="shared" si="1"/>
        <v>84</v>
      </c>
      <c r="C85">
        <v>0</v>
      </c>
      <c r="D85">
        <f>C85+'Excel Support'!$H$29</f>
        <v>7000</v>
      </c>
      <c r="E85">
        <f>C85-'Excel Support'!$H$29</f>
        <v>-7000</v>
      </c>
    </row>
    <row r="86" spans="1:5" x14ac:dyDescent="0.25">
      <c r="A86">
        <f t="shared" si="1"/>
        <v>85</v>
      </c>
      <c r="C86">
        <v>0</v>
      </c>
      <c r="D86">
        <f>C86+'Excel Support'!$H$29</f>
        <v>7000</v>
      </c>
      <c r="E86">
        <f>C86-'Excel Support'!$H$29</f>
        <v>-7000</v>
      </c>
    </row>
    <row r="87" spans="1:5" x14ac:dyDescent="0.25">
      <c r="A87">
        <f t="shared" si="1"/>
        <v>86</v>
      </c>
      <c r="C87">
        <v>0</v>
      </c>
      <c r="D87">
        <f>C87+'Excel Support'!$H$29</f>
        <v>7000</v>
      </c>
      <c r="E87">
        <f>C87-'Excel Support'!$H$29</f>
        <v>-7000</v>
      </c>
    </row>
    <row r="88" spans="1:5" x14ac:dyDescent="0.25">
      <c r="A88">
        <f t="shared" si="1"/>
        <v>87</v>
      </c>
      <c r="C88">
        <v>0</v>
      </c>
      <c r="D88">
        <f>C88+'Excel Support'!$H$29</f>
        <v>7000</v>
      </c>
      <c r="E88">
        <f>C88-'Excel Support'!$H$29</f>
        <v>-7000</v>
      </c>
    </row>
    <row r="89" spans="1:5" x14ac:dyDescent="0.25">
      <c r="A89">
        <f t="shared" si="1"/>
        <v>88</v>
      </c>
      <c r="C89">
        <v>0</v>
      </c>
      <c r="D89">
        <f>C89+'Excel Support'!$H$29</f>
        <v>7000</v>
      </c>
      <c r="E89">
        <f>C89-'Excel Support'!$H$29</f>
        <v>-7000</v>
      </c>
    </row>
    <row r="90" spans="1:5" x14ac:dyDescent="0.25">
      <c r="A90">
        <f t="shared" si="1"/>
        <v>89</v>
      </c>
      <c r="C90">
        <v>0</v>
      </c>
      <c r="D90">
        <f>C90+'Excel Support'!$H$29</f>
        <v>7000</v>
      </c>
      <c r="E90">
        <f>C90-'Excel Support'!$H$29</f>
        <v>-7000</v>
      </c>
    </row>
    <row r="91" spans="1:5" x14ac:dyDescent="0.25">
      <c r="A91">
        <f t="shared" si="1"/>
        <v>90</v>
      </c>
      <c r="C91">
        <v>0</v>
      </c>
      <c r="D91">
        <f>C91+'Excel Support'!$H$29</f>
        <v>7000</v>
      </c>
      <c r="E91">
        <f>C91-'Excel Support'!$H$29</f>
        <v>-7000</v>
      </c>
    </row>
    <row r="92" spans="1:5" x14ac:dyDescent="0.25">
      <c r="A92">
        <f t="shared" si="1"/>
        <v>91</v>
      </c>
      <c r="C92">
        <v>0</v>
      </c>
      <c r="D92">
        <f>C92+'Excel Support'!$H$29</f>
        <v>7000</v>
      </c>
      <c r="E92">
        <f>C92-'Excel Support'!$H$29</f>
        <v>-7000</v>
      </c>
    </row>
    <row r="93" spans="1:5" x14ac:dyDescent="0.25">
      <c r="A93">
        <f t="shared" si="1"/>
        <v>92</v>
      </c>
      <c r="C93">
        <v>0</v>
      </c>
      <c r="D93">
        <f>C93+'Excel Support'!$H$29</f>
        <v>7000</v>
      </c>
      <c r="E93">
        <f>C93-'Excel Support'!$H$29</f>
        <v>-7000</v>
      </c>
    </row>
    <row r="94" spans="1:5" x14ac:dyDescent="0.25">
      <c r="A94">
        <f t="shared" si="1"/>
        <v>93</v>
      </c>
      <c r="C94">
        <v>0</v>
      </c>
      <c r="D94">
        <f>C94+'Excel Support'!$H$29</f>
        <v>7000</v>
      </c>
      <c r="E94">
        <f>C94-'Excel Support'!$H$29</f>
        <v>-7000</v>
      </c>
    </row>
    <row r="95" spans="1:5" x14ac:dyDescent="0.25">
      <c r="A95">
        <f t="shared" si="1"/>
        <v>94</v>
      </c>
      <c r="C95">
        <v>0</v>
      </c>
      <c r="D95">
        <f>C95+'Excel Support'!$H$29</f>
        <v>7000</v>
      </c>
      <c r="E95">
        <f>C95-'Excel Support'!$H$29</f>
        <v>-7000</v>
      </c>
    </row>
    <row r="96" spans="1:5" x14ac:dyDescent="0.25">
      <c r="A96">
        <f t="shared" si="1"/>
        <v>95</v>
      </c>
      <c r="C96">
        <v>0</v>
      </c>
      <c r="D96">
        <f>C96+'Excel Support'!$H$29</f>
        <v>7000</v>
      </c>
      <c r="E96">
        <f>C96-'Excel Support'!$H$29</f>
        <v>-7000</v>
      </c>
    </row>
    <row r="97" spans="1:5" x14ac:dyDescent="0.25">
      <c r="A97">
        <f t="shared" si="1"/>
        <v>96</v>
      </c>
      <c r="C97">
        <v>0</v>
      </c>
      <c r="D97">
        <f>C97+'Excel Support'!$H$29</f>
        <v>7000</v>
      </c>
      <c r="E97">
        <f>C97-'Excel Support'!$H$29</f>
        <v>-7000</v>
      </c>
    </row>
    <row r="98" spans="1:5" x14ac:dyDescent="0.25">
      <c r="A98">
        <f t="shared" si="1"/>
        <v>97</v>
      </c>
      <c r="C98">
        <v>0</v>
      </c>
      <c r="D98">
        <f>C98+'Excel Support'!$H$29</f>
        <v>7000</v>
      </c>
      <c r="E98">
        <f>C98-'Excel Support'!$H$29</f>
        <v>-7000</v>
      </c>
    </row>
    <row r="99" spans="1:5" x14ac:dyDescent="0.25">
      <c r="A99">
        <f t="shared" si="1"/>
        <v>98</v>
      </c>
      <c r="C99">
        <v>0</v>
      </c>
      <c r="D99">
        <f>C99+'Excel Support'!$H$29</f>
        <v>7000</v>
      </c>
      <c r="E99">
        <f>C99-'Excel Support'!$H$29</f>
        <v>-7000</v>
      </c>
    </row>
    <row r="100" spans="1:5" x14ac:dyDescent="0.25">
      <c r="A100">
        <f t="shared" si="1"/>
        <v>99</v>
      </c>
      <c r="C100">
        <v>0</v>
      </c>
      <c r="D100">
        <f>C100+'Excel Support'!$H$29</f>
        <v>7000</v>
      </c>
      <c r="E100">
        <f>C100-'Excel Support'!$H$29</f>
        <v>-7000</v>
      </c>
    </row>
    <row r="101" spans="1:5" x14ac:dyDescent="0.25">
      <c r="A101">
        <f t="shared" si="1"/>
        <v>100</v>
      </c>
      <c r="C101">
        <v>0</v>
      </c>
      <c r="D101">
        <f>C101+'Excel Support'!$H$29</f>
        <v>7000</v>
      </c>
      <c r="E101">
        <f>C101-'Excel Support'!$H$29</f>
        <v>-7000</v>
      </c>
    </row>
    <row r="102" spans="1:5" x14ac:dyDescent="0.25">
      <c r="A102">
        <f t="shared" si="1"/>
        <v>101</v>
      </c>
      <c r="C102">
        <v>0</v>
      </c>
      <c r="D102">
        <f>C102+'Excel Support'!$H$29</f>
        <v>7000</v>
      </c>
      <c r="E102">
        <f>C102-'Excel Support'!$H$29</f>
        <v>-7000</v>
      </c>
    </row>
    <row r="103" spans="1:5" x14ac:dyDescent="0.25">
      <c r="A103">
        <f t="shared" si="1"/>
        <v>102</v>
      </c>
      <c r="C103">
        <v>0</v>
      </c>
      <c r="D103">
        <f>C103+'Excel Support'!$H$29</f>
        <v>7000</v>
      </c>
      <c r="E103">
        <f>C103-'Excel Support'!$H$29</f>
        <v>-7000</v>
      </c>
    </row>
    <row r="104" spans="1:5" x14ac:dyDescent="0.25">
      <c r="A104">
        <f t="shared" si="1"/>
        <v>103</v>
      </c>
      <c r="C104">
        <v>0</v>
      </c>
      <c r="D104">
        <f>C104+'Excel Support'!$H$29</f>
        <v>7000</v>
      </c>
      <c r="E104">
        <f>C104-'Excel Support'!$H$29</f>
        <v>-7000</v>
      </c>
    </row>
    <row r="105" spans="1:5" x14ac:dyDescent="0.25">
      <c r="A105">
        <f t="shared" si="1"/>
        <v>104</v>
      </c>
      <c r="C105">
        <v>0</v>
      </c>
      <c r="D105">
        <f>C105+'Excel Support'!$H$29</f>
        <v>7000</v>
      </c>
      <c r="E105">
        <f>C105-'Excel Support'!$H$29</f>
        <v>-7000</v>
      </c>
    </row>
    <row r="106" spans="1:5" x14ac:dyDescent="0.25">
      <c r="A106">
        <f t="shared" si="1"/>
        <v>105</v>
      </c>
      <c r="C106">
        <v>0</v>
      </c>
      <c r="D106">
        <f>C106+'Excel Support'!$H$29</f>
        <v>7000</v>
      </c>
      <c r="E106">
        <f>C106-'Excel Support'!$H$29</f>
        <v>-7000</v>
      </c>
    </row>
    <row r="107" spans="1:5" x14ac:dyDescent="0.25">
      <c r="A107">
        <f t="shared" si="1"/>
        <v>106</v>
      </c>
      <c r="C107">
        <v>0</v>
      </c>
      <c r="D107">
        <f>C107+'Excel Support'!$H$29</f>
        <v>7000</v>
      </c>
      <c r="E107">
        <f>C107-'Excel Support'!$H$29</f>
        <v>-7000</v>
      </c>
    </row>
    <row r="108" spans="1:5" x14ac:dyDescent="0.25">
      <c r="A108">
        <f t="shared" si="1"/>
        <v>107</v>
      </c>
      <c r="C108">
        <v>0</v>
      </c>
      <c r="D108">
        <f>C108+'Excel Support'!$H$29</f>
        <v>7000</v>
      </c>
      <c r="E108">
        <f>C108-'Excel Support'!$H$29</f>
        <v>-7000</v>
      </c>
    </row>
    <row r="109" spans="1:5" x14ac:dyDescent="0.25">
      <c r="A109">
        <f t="shared" si="1"/>
        <v>108</v>
      </c>
      <c r="C109">
        <v>0</v>
      </c>
      <c r="D109">
        <f>C109+'Excel Support'!$H$29</f>
        <v>7000</v>
      </c>
      <c r="E109">
        <f>C109-'Excel Support'!$H$29</f>
        <v>-7000</v>
      </c>
    </row>
    <row r="110" spans="1:5" x14ac:dyDescent="0.25">
      <c r="A110">
        <f t="shared" si="1"/>
        <v>109</v>
      </c>
      <c r="C110">
        <v>0</v>
      </c>
      <c r="D110">
        <f>C110+'Excel Support'!$H$29</f>
        <v>7000</v>
      </c>
      <c r="E110">
        <f>C110-'Excel Support'!$H$29</f>
        <v>-7000</v>
      </c>
    </row>
    <row r="111" spans="1:5" x14ac:dyDescent="0.25">
      <c r="A111">
        <f t="shared" si="1"/>
        <v>110</v>
      </c>
      <c r="C111">
        <v>0</v>
      </c>
      <c r="D111">
        <f>C111+'Excel Support'!$H$29</f>
        <v>7000</v>
      </c>
      <c r="E111">
        <f>C111-'Excel Support'!$H$29</f>
        <v>-7000</v>
      </c>
    </row>
    <row r="112" spans="1:5" x14ac:dyDescent="0.25">
      <c r="A112">
        <f t="shared" si="1"/>
        <v>111</v>
      </c>
      <c r="C112">
        <v>0</v>
      </c>
      <c r="D112">
        <f>C112+'Excel Support'!$H$29</f>
        <v>7000</v>
      </c>
      <c r="E112">
        <f>C112-'Excel Support'!$H$29</f>
        <v>-7000</v>
      </c>
    </row>
    <row r="113" spans="1:5" x14ac:dyDescent="0.25">
      <c r="A113">
        <f t="shared" si="1"/>
        <v>112</v>
      </c>
      <c r="C113">
        <v>0</v>
      </c>
      <c r="D113">
        <f>C113+'Excel Support'!$H$29</f>
        <v>7000</v>
      </c>
      <c r="E113">
        <f>C113-'Excel Support'!$H$29</f>
        <v>-7000</v>
      </c>
    </row>
    <row r="114" spans="1:5" x14ac:dyDescent="0.25">
      <c r="A114">
        <f t="shared" si="1"/>
        <v>113</v>
      </c>
      <c r="C114">
        <v>0</v>
      </c>
      <c r="D114">
        <f>C114+'Excel Support'!$H$29</f>
        <v>7000</v>
      </c>
      <c r="E114">
        <f>C114-'Excel Support'!$H$29</f>
        <v>-7000</v>
      </c>
    </row>
    <row r="115" spans="1:5" x14ac:dyDescent="0.25">
      <c r="A115">
        <f t="shared" si="1"/>
        <v>114</v>
      </c>
      <c r="C115">
        <v>0</v>
      </c>
      <c r="D115">
        <f>C115+'Excel Support'!$H$29</f>
        <v>7000</v>
      </c>
      <c r="E115">
        <f>C115-'Excel Support'!$H$29</f>
        <v>-7000</v>
      </c>
    </row>
    <row r="116" spans="1:5" x14ac:dyDescent="0.25">
      <c r="A116">
        <f t="shared" si="1"/>
        <v>115</v>
      </c>
      <c r="C116">
        <v>0</v>
      </c>
      <c r="D116">
        <f>C116+'Excel Support'!$H$29</f>
        <v>7000</v>
      </c>
      <c r="E116">
        <f>C116-'Excel Support'!$H$29</f>
        <v>-7000</v>
      </c>
    </row>
    <row r="117" spans="1:5" x14ac:dyDescent="0.25">
      <c r="A117">
        <f t="shared" si="1"/>
        <v>116</v>
      </c>
      <c r="C117">
        <v>0</v>
      </c>
      <c r="D117">
        <f>C117+'Excel Support'!$H$29</f>
        <v>7000</v>
      </c>
      <c r="E117">
        <f>C117-'Excel Support'!$H$29</f>
        <v>-7000</v>
      </c>
    </row>
    <row r="118" spans="1:5" x14ac:dyDescent="0.25">
      <c r="A118">
        <f t="shared" si="1"/>
        <v>117</v>
      </c>
      <c r="C118">
        <v>0</v>
      </c>
      <c r="D118">
        <f>C118+'Excel Support'!$H$29</f>
        <v>7000</v>
      </c>
      <c r="E118">
        <f>C118-'Excel Support'!$H$29</f>
        <v>-7000</v>
      </c>
    </row>
    <row r="119" spans="1:5" x14ac:dyDescent="0.25">
      <c r="A119">
        <f t="shared" si="1"/>
        <v>118</v>
      </c>
      <c r="C119">
        <v>0</v>
      </c>
      <c r="D119">
        <f>C119+'Excel Support'!$H$29</f>
        <v>7000</v>
      </c>
      <c r="E119">
        <f>C119-'Excel Support'!$H$29</f>
        <v>-7000</v>
      </c>
    </row>
    <row r="120" spans="1:5" x14ac:dyDescent="0.25">
      <c r="A120">
        <f t="shared" si="1"/>
        <v>119</v>
      </c>
      <c r="C120">
        <v>0</v>
      </c>
      <c r="D120">
        <f>C120+'Excel Support'!$H$29</f>
        <v>7000</v>
      </c>
      <c r="E120">
        <f>C120-'Excel Support'!$H$29</f>
        <v>-7000</v>
      </c>
    </row>
    <row r="121" spans="1:5" x14ac:dyDescent="0.25">
      <c r="A121">
        <f t="shared" si="1"/>
        <v>120</v>
      </c>
      <c r="C121">
        <v>0</v>
      </c>
      <c r="D121">
        <f>C121+'Excel Support'!$H$29</f>
        <v>7000</v>
      </c>
      <c r="E121">
        <f>C121-'Excel Support'!$H$29</f>
        <v>-7000</v>
      </c>
    </row>
    <row r="122" spans="1:5" x14ac:dyDescent="0.25">
      <c r="A122">
        <f t="shared" si="1"/>
        <v>121</v>
      </c>
      <c r="C122">
        <v>0</v>
      </c>
      <c r="D122">
        <f>C122+'Excel Support'!$H$29</f>
        <v>7000</v>
      </c>
      <c r="E122">
        <f>C122-'Excel Support'!$H$29</f>
        <v>-7000</v>
      </c>
    </row>
    <row r="123" spans="1:5" x14ac:dyDescent="0.25">
      <c r="A123">
        <f t="shared" si="1"/>
        <v>122</v>
      </c>
      <c r="C123">
        <v>0</v>
      </c>
      <c r="D123">
        <f>C123+'Excel Support'!$H$29</f>
        <v>7000</v>
      </c>
      <c r="E123">
        <f>C123-'Excel Support'!$H$29</f>
        <v>-7000</v>
      </c>
    </row>
    <row r="124" spans="1:5" x14ac:dyDescent="0.25">
      <c r="A124">
        <f t="shared" si="1"/>
        <v>123</v>
      </c>
      <c r="C124">
        <v>0</v>
      </c>
      <c r="D124">
        <f>C124+'Excel Support'!$H$29</f>
        <v>7000</v>
      </c>
      <c r="E124">
        <f>C124-'Excel Support'!$H$29</f>
        <v>-7000</v>
      </c>
    </row>
    <row r="125" spans="1:5" x14ac:dyDescent="0.25">
      <c r="A125">
        <f t="shared" si="1"/>
        <v>124</v>
      </c>
      <c r="C125">
        <v>0</v>
      </c>
      <c r="D125">
        <f>C125+'Excel Support'!$H$29</f>
        <v>7000</v>
      </c>
      <c r="E125">
        <f>C125-'Excel Support'!$H$29</f>
        <v>-7000</v>
      </c>
    </row>
    <row r="126" spans="1:5" x14ac:dyDescent="0.25">
      <c r="A126">
        <f t="shared" si="1"/>
        <v>125</v>
      </c>
      <c r="C126">
        <v>0</v>
      </c>
      <c r="D126">
        <f>C126+'Excel Support'!$H$29</f>
        <v>7000</v>
      </c>
      <c r="E126">
        <f>C126-'Excel Support'!$H$29</f>
        <v>-7000</v>
      </c>
    </row>
    <row r="127" spans="1:5" x14ac:dyDescent="0.25">
      <c r="A127">
        <f t="shared" si="1"/>
        <v>126</v>
      </c>
      <c r="C127">
        <v>0</v>
      </c>
      <c r="D127">
        <f>C127+'Excel Support'!$H$29</f>
        <v>7000</v>
      </c>
      <c r="E127">
        <f>C127-'Excel Support'!$H$29</f>
        <v>-7000</v>
      </c>
    </row>
    <row r="128" spans="1:5" x14ac:dyDescent="0.25">
      <c r="A128">
        <f t="shared" si="1"/>
        <v>127</v>
      </c>
      <c r="C128">
        <v>0</v>
      </c>
      <c r="D128">
        <f>C128+'Excel Support'!$H$29</f>
        <v>7000</v>
      </c>
      <c r="E128">
        <f>C128-'Excel Support'!$H$29</f>
        <v>-7000</v>
      </c>
    </row>
    <row r="129" spans="1:5" x14ac:dyDescent="0.25">
      <c r="A129">
        <f t="shared" si="1"/>
        <v>128</v>
      </c>
      <c r="C129">
        <v>0</v>
      </c>
      <c r="D129">
        <f>C129+'Excel Support'!$H$29</f>
        <v>7000</v>
      </c>
      <c r="E129">
        <f>C129-'Excel Support'!$H$29</f>
        <v>-7000</v>
      </c>
    </row>
    <row r="130" spans="1:5" x14ac:dyDescent="0.25">
      <c r="A130">
        <f t="shared" si="1"/>
        <v>129</v>
      </c>
      <c r="C130">
        <v>0</v>
      </c>
      <c r="D130">
        <f>C130+'Excel Support'!$H$29</f>
        <v>7000</v>
      </c>
      <c r="E130">
        <f>C130-'Excel Support'!$H$29</f>
        <v>-7000</v>
      </c>
    </row>
    <row r="131" spans="1:5" x14ac:dyDescent="0.25">
      <c r="A131">
        <f t="shared" ref="A131:A194" si="2">A130+1</f>
        <v>130</v>
      </c>
      <c r="C131">
        <v>0</v>
      </c>
      <c r="D131">
        <f>C131+'Excel Support'!$H$29</f>
        <v>7000</v>
      </c>
      <c r="E131">
        <f>C131-'Excel Support'!$H$29</f>
        <v>-7000</v>
      </c>
    </row>
    <row r="132" spans="1:5" x14ac:dyDescent="0.25">
      <c r="A132">
        <f t="shared" si="2"/>
        <v>131</v>
      </c>
      <c r="C132">
        <v>0</v>
      </c>
      <c r="D132">
        <f>C132+'Excel Support'!$H$29</f>
        <v>7000</v>
      </c>
      <c r="E132">
        <f>C132-'Excel Support'!$H$29</f>
        <v>-7000</v>
      </c>
    </row>
    <row r="133" spans="1:5" x14ac:dyDescent="0.25">
      <c r="A133">
        <f t="shared" si="2"/>
        <v>132</v>
      </c>
      <c r="C133">
        <v>0</v>
      </c>
      <c r="D133">
        <f>C133+'Excel Support'!$H$29</f>
        <v>7000</v>
      </c>
      <c r="E133">
        <f>C133-'Excel Support'!$H$29</f>
        <v>-7000</v>
      </c>
    </row>
    <row r="134" spans="1:5" x14ac:dyDescent="0.25">
      <c r="A134">
        <f t="shared" si="2"/>
        <v>133</v>
      </c>
      <c r="C134">
        <v>0</v>
      </c>
      <c r="D134">
        <f>C134+'Excel Support'!$H$29</f>
        <v>7000</v>
      </c>
      <c r="E134">
        <f>C134-'Excel Support'!$H$29</f>
        <v>-7000</v>
      </c>
    </row>
    <row r="135" spans="1:5" x14ac:dyDescent="0.25">
      <c r="A135">
        <f t="shared" si="2"/>
        <v>134</v>
      </c>
      <c r="C135">
        <v>0</v>
      </c>
      <c r="D135">
        <f>C135+'Excel Support'!$H$29</f>
        <v>7000</v>
      </c>
      <c r="E135">
        <f>C135-'Excel Support'!$H$29</f>
        <v>-7000</v>
      </c>
    </row>
    <row r="136" spans="1:5" x14ac:dyDescent="0.25">
      <c r="A136">
        <f t="shared" si="2"/>
        <v>135</v>
      </c>
      <c r="C136">
        <v>0</v>
      </c>
      <c r="D136">
        <f>C136+'Excel Support'!$H$29</f>
        <v>7000</v>
      </c>
      <c r="E136">
        <f>C136-'Excel Support'!$H$29</f>
        <v>-7000</v>
      </c>
    </row>
    <row r="137" spans="1:5" x14ac:dyDescent="0.25">
      <c r="A137">
        <f t="shared" si="2"/>
        <v>136</v>
      </c>
      <c r="C137">
        <v>0</v>
      </c>
      <c r="D137">
        <f>C137+'Excel Support'!$H$29</f>
        <v>7000</v>
      </c>
      <c r="E137">
        <f>C137-'Excel Support'!$H$29</f>
        <v>-7000</v>
      </c>
    </row>
    <row r="138" spans="1:5" x14ac:dyDescent="0.25">
      <c r="A138">
        <f t="shared" si="2"/>
        <v>137</v>
      </c>
      <c r="C138">
        <v>0</v>
      </c>
      <c r="D138">
        <f>C138+'Excel Support'!$H$29</f>
        <v>7000</v>
      </c>
      <c r="E138">
        <f>C138-'Excel Support'!$H$29</f>
        <v>-7000</v>
      </c>
    </row>
    <row r="139" spans="1:5" x14ac:dyDescent="0.25">
      <c r="A139">
        <f t="shared" si="2"/>
        <v>138</v>
      </c>
      <c r="C139">
        <v>0</v>
      </c>
      <c r="D139">
        <f>C139+'Excel Support'!$H$29</f>
        <v>7000</v>
      </c>
      <c r="E139">
        <f>C139-'Excel Support'!$H$29</f>
        <v>-7000</v>
      </c>
    </row>
    <row r="140" spans="1:5" x14ac:dyDescent="0.25">
      <c r="A140">
        <f t="shared" si="2"/>
        <v>139</v>
      </c>
      <c r="C140">
        <v>0</v>
      </c>
      <c r="D140">
        <f>C140+'Excel Support'!$H$29</f>
        <v>7000</v>
      </c>
      <c r="E140">
        <f>C140-'Excel Support'!$H$29</f>
        <v>-7000</v>
      </c>
    </row>
    <row r="141" spans="1:5" x14ac:dyDescent="0.25">
      <c r="A141">
        <f t="shared" si="2"/>
        <v>140</v>
      </c>
      <c r="C141">
        <v>0</v>
      </c>
      <c r="D141">
        <f>C141+'Excel Support'!$H$29</f>
        <v>7000</v>
      </c>
      <c r="E141">
        <f>C141-'Excel Support'!$H$29</f>
        <v>-7000</v>
      </c>
    </row>
    <row r="142" spans="1:5" x14ac:dyDescent="0.25">
      <c r="A142">
        <f t="shared" si="2"/>
        <v>141</v>
      </c>
      <c r="C142">
        <v>0</v>
      </c>
      <c r="D142">
        <f>C142+'Excel Support'!$H$29</f>
        <v>7000</v>
      </c>
      <c r="E142">
        <f>C142-'Excel Support'!$H$29</f>
        <v>-7000</v>
      </c>
    </row>
    <row r="143" spans="1:5" x14ac:dyDescent="0.25">
      <c r="A143">
        <f t="shared" si="2"/>
        <v>142</v>
      </c>
      <c r="C143">
        <v>0</v>
      </c>
      <c r="D143">
        <f>C143+'Excel Support'!$H$29</f>
        <v>7000</v>
      </c>
      <c r="E143">
        <f>C143-'Excel Support'!$H$29</f>
        <v>-7000</v>
      </c>
    </row>
    <row r="144" spans="1:5" x14ac:dyDescent="0.25">
      <c r="A144">
        <f t="shared" si="2"/>
        <v>143</v>
      </c>
      <c r="C144">
        <v>0</v>
      </c>
      <c r="D144">
        <f>C144+'Excel Support'!$H$29</f>
        <v>7000</v>
      </c>
      <c r="E144">
        <f>C144-'Excel Support'!$H$29</f>
        <v>-7000</v>
      </c>
    </row>
    <row r="145" spans="1:5" x14ac:dyDescent="0.25">
      <c r="A145">
        <f t="shared" si="2"/>
        <v>144</v>
      </c>
      <c r="C145">
        <v>0</v>
      </c>
      <c r="D145">
        <f>C145+'Excel Support'!$H$29</f>
        <v>7000</v>
      </c>
      <c r="E145">
        <f>C145-'Excel Support'!$H$29</f>
        <v>-7000</v>
      </c>
    </row>
    <row r="146" spans="1:5" x14ac:dyDescent="0.25">
      <c r="A146">
        <f t="shared" si="2"/>
        <v>145</v>
      </c>
      <c r="C146">
        <v>0</v>
      </c>
      <c r="D146">
        <f>C146+'Excel Support'!$H$29</f>
        <v>7000</v>
      </c>
      <c r="E146">
        <f>C146-'Excel Support'!$H$29</f>
        <v>-7000</v>
      </c>
    </row>
    <row r="147" spans="1:5" x14ac:dyDescent="0.25">
      <c r="A147">
        <f t="shared" si="2"/>
        <v>146</v>
      </c>
      <c r="C147">
        <v>0</v>
      </c>
      <c r="D147">
        <f>C147+'Excel Support'!$H$29</f>
        <v>7000</v>
      </c>
      <c r="E147">
        <f>C147-'Excel Support'!$H$29</f>
        <v>-7000</v>
      </c>
    </row>
    <row r="148" spans="1:5" x14ac:dyDescent="0.25">
      <c r="A148">
        <f t="shared" si="2"/>
        <v>147</v>
      </c>
      <c r="C148">
        <v>0</v>
      </c>
      <c r="D148">
        <f>C148+'Excel Support'!$H$29</f>
        <v>7000</v>
      </c>
      <c r="E148">
        <f>C148-'Excel Support'!$H$29</f>
        <v>-7000</v>
      </c>
    </row>
    <row r="149" spans="1:5" x14ac:dyDescent="0.25">
      <c r="A149">
        <f t="shared" si="2"/>
        <v>148</v>
      </c>
      <c r="C149">
        <v>0</v>
      </c>
      <c r="D149">
        <f>C149+'Excel Support'!$H$29</f>
        <v>7000</v>
      </c>
      <c r="E149">
        <f>C149-'Excel Support'!$H$29</f>
        <v>-7000</v>
      </c>
    </row>
    <row r="150" spans="1:5" x14ac:dyDescent="0.25">
      <c r="A150">
        <f t="shared" si="2"/>
        <v>149</v>
      </c>
      <c r="C150">
        <v>0</v>
      </c>
      <c r="D150">
        <f>C150+'Excel Support'!$H$29</f>
        <v>7000</v>
      </c>
      <c r="E150">
        <f>C150-'Excel Support'!$H$29</f>
        <v>-7000</v>
      </c>
    </row>
    <row r="151" spans="1:5" x14ac:dyDescent="0.25">
      <c r="A151">
        <f t="shared" si="2"/>
        <v>150</v>
      </c>
      <c r="C151">
        <v>0</v>
      </c>
      <c r="D151">
        <f>C151+'Excel Support'!$H$29</f>
        <v>7000</v>
      </c>
      <c r="E151">
        <f>C151-'Excel Support'!$H$29</f>
        <v>-7000</v>
      </c>
    </row>
    <row r="152" spans="1:5" x14ac:dyDescent="0.25">
      <c r="A152">
        <f t="shared" si="2"/>
        <v>151</v>
      </c>
      <c r="C152">
        <v>0</v>
      </c>
      <c r="D152">
        <f>C152+'Excel Support'!$H$29</f>
        <v>7000</v>
      </c>
      <c r="E152">
        <f>C152-'Excel Support'!$H$29</f>
        <v>-7000</v>
      </c>
    </row>
    <row r="153" spans="1:5" x14ac:dyDescent="0.25">
      <c r="A153">
        <f t="shared" si="2"/>
        <v>152</v>
      </c>
      <c r="C153">
        <v>0</v>
      </c>
      <c r="D153">
        <f>C153+'Excel Support'!$H$29</f>
        <v>7000</v>
      </c>
      <c r="E153">
        <f>C153-'Excel Support'!$H$29</f>
        <v>-7000</v>
      </c>
    </row>
    <row r="154" spans="1:5" x14ac:dyDescent="0.25">
      <c r="A154">
        <f t="shared" si="2"/>
        <v>153</v>
      </c>
      <c r="C154">
        <v>0</v>
      </c>
      <c r="D154">
        <f>C154+'Excel Support'!$H$29</f>
        <v>7000</v>
      </c>
      <c r="E154">
        <f>C154-'Excel Support'!$H$29</f>
        <v>-7000</v>
      </c>
    </row>
    <row r="155" spans="1:5" x14ac:dyDescent="0.25">
      <c r="A155">
        <f t="shared" si="2"/>
        <v>154</v>
      </c>
      <c r="C155">
        <v>0</v>
      </c>
      <c r="D155">
        <f>C155+'Excel Support'!$H$29</f>
        <v>7000</v>
      </c>
      <c r="E155">
        <f>C155-'Excel Support'!$H$29</f>
        <v>-7000</v>
      </c>
    </row>
    <row r="156" spans="1:5" x14ac:dyDescent="0.25">
      <c r="A156">
        <f t="shared" si="2"/>
        <v>155</v>
      </c>
      <c r="C156">
        <v>0</v>
      </c>
      <c r="D156">
        <f>C156+'Excel Support'!$H$29</f>
        <v>7000</v>
      </c>
      <c r="E156">
        <f>C156-'Excel Support'!$H$29</f>
        <v>-7000</v>
      </c>
    </row>
    <row r="157" spans="1:5" x14ac:dyDescent="0.25">
      <c r="A157">
        <f t="shared" si="2"/>
        <v>156</v>
      </c>
      <c r="C157">
        <v>0</v>
      </c>
      <c r="D157">
        <f>C157+'Excel Support'!$H$29</f>
        <v>7000</v>
      </c>
      <c r="E157">
        <f>C157-'Excel Support'!$H$29</f>
        <v>-7000</v>
      </c>
    </row>
    <row r="158" spans="1:5" x14ac:dyDescent="0.25">
      <c r="A158">
        <f t="shared" si="2"/>
        <v>157</v>
      </c>
      <c r="C158">
        <v>0</v>
      </c>
      <c r="D158">
        <f>C158+'Excel Support'!$H$29</f>
        <v>7000</v>
      </c>
      <c r="E158">
        <f>C158-'Excel Support'!$H$29</f>
        <v>-7000</v>
      </c>
    </row>
    <row r="159" spans="1:5" x14ac:dyDescent="0.25">
      <c r="A159">
        <f t="shared" si="2"/>
        <v>158</v>
      </c>
      <c r="C159">
        <v>0</v>
      </c>
      <c r="D159">
        <f>C159+'Excel Support'!$H$29</f>
        <v>7000</v>
      </c>
      <c r="E159">
        <f>C159-'Excel Support'!$H$29</f>
        <v>-7000</v>
      </c>
    </row>
    <row r="160" spans="1:5" x14ac:dyDescent="0.25">
      <c r="A160">
        <f t="shared" si="2"/>
        <v>159</v>
      </c>
      <c r="C160">
        <v>0</v>
      </c>
      <c r="D160">
        <f>C160+'Excel Support'!$H$29</f>
        <v>7000</v>
      </c>
      <c r="E160">
        <f>C160-'Excel Support'!$H$29</f>
        <v>-7000</v>
      </c>
    </row>
    <row r="161" spans="1:5" x14ac:dyDescent="0.25">
      <c r="A161">
        <f t="shared" si="2"/>
        <v>160</v>
      </c>
      <c r="C161">
        <v>0</v>
      </c>
      <c r="D161">
        <f>C161+'Excel Support'!$H$29</f>
        <v>7000</v>
      </c>
      <c r="E161">
        <f>C161-'Excel Support'!$H$29</f>
        <v>-7000</v>
      </c>
    </row>
    <row r="162" spans="1:5" x14ac:dyDescent="0.25">
      <c r="A162">
        <f t="shared" si="2"/>
        <v>161</v>
      </c>
      <c r="C162">
        <v>0</v>
      </c>
      <c r="D162">
        <f>C162+'Excel Support'!$H$29</f>
        <v>7000</v>
      </c>
      <c r="E162">
        <f>C162-'Excel Support'!$H$29</f>
        <v>-7000</v>
      </c>
    </row>
    <row r="163" spans="1:5" x14ac:dyDescent="0.25">
      <c r="A163">
        <f t="shared" si="2"/>
        <v>162</v>
      </c>
      <c r="C163">
        <v>0</v>
      </c>
      <c r="D163">
        <f>C163+'Excel Support'!$H$29</f>
        <v>7000</v>
      </c>
      <c r="E163">
        <f>C163-'Excel Support'!$H$29</f>
        <v>-7000</v>
      </c>
    </row>
    <row r="164" spans="1:5" x14ac:dyDescent="0.25">
      <c r="A164">
        <f t="shared" si="2"/>
        <v>163</v>
      </c>
      <c r="C164">
        <v>0</v>
      </c>
      <c r="D164">
        <f>C164+'Excel Support'!$H$29</f>
        <v>7000</v>
      </c>
      <c r="E164">
        <f>C164-'Excel Support'!$H$29</f>
        <v>-7000</v>
      </c>
    </row>
    <row r="165" spans="1:5" x14ac:dyDescent="0.25">
      <c r="A165">
        <f t="shared" si="2"/>
        <v>164</v>
      </c>
      <c r="C165">
        <v>0</v>
      </c>
      <c r="D165">
        <f>C165+'Excel Support'!$H$29</f>
        <v>7000</v>
      </c>
      <c r="E165">
        <f>C165-'Excel Support'!$H$29</f>
        <v>-7000</v>
      </c>
    </row>
    <row r="166" spans="1:5" x14ac:dyDescent="0.25">
      <c r="A166">
        <f t="shared" si="2"/>
        <v>165</v>
      </c>
      <c r="C166">
        <v>0</v>
      </c>
      <c r="D166">
        <f>C166+'Excel Support'!$H$29</f>
        <v>7000</v>
      </c>
      <c r="E166">
        <f>C166-'Excel Support'!$H$29</f>
        <v>-7000</v>
      </c>
    </row>
    <row r="167" spans="1:5" x14ac:dyDescent="0.25">
      <c r="A167">
        <f t="shared" si="2"/>
        <v>166</v>
      </c>
      <c r="C167">
        <v>0</v>
      </c>
      <c r="D167">
        <f>C167+'Excel Support'!$H$29</f>
        <v>7000</v>
      </c>
      <c r="E167">
        <f>C167-'Excel Support'!$H$29</f>
        <v>-7000</v>
      </c>
    </row>
    <row r="168" spans="1:5" x14ac:dyDescent="0.25">
      <c r="A168">
        <f t="shared" si="2"/>
        <v>167</v>
      </c>
      <c r="C168">
        <v>0</v>
      </c>
      <c r="D168">
        <f>C168+'Excel Support'!$H$29</f>
        <v>7000</v>
      </c>
      <c r="E168">
        <f>C168-'Excel Support'!$H$29</f>
        <v>-7000</v>
      </c>
    </row>
    <row r="169" spans="1:5" x14ac:dyDescent="0.25">
      <c r="A169">
        <f t="shared" si="2"/>
        <v>168</v>
      </c>
      <c r="C169">
        <v>0</v>
      </c>
      <c r="D169">
        <f>C169+'Excel Support'!$H$29</f>
        <v>7000</v>
      </c>
      <c r="E169">
        <f>C169-'Excel Support'!$H$29</f>
        <v>-7000</v>
      </c>
    </row>
    <row r="170" spans="1:5" x14ac:dyDescent="0.25">
      <c r="A170">
        <f t="shared" si="2"/>
        <v>169</v>
      </c>
      <c r="C170">
        <v>0</v>
      </c>
      <c r="D170">
        <f>C170+'Excel Support'!$H$29</f>
        <v>7000</v>
      </c>
      <c r="E170">
        <f>C170-'Excel Support'!$H$29</f>
        <v>-7000</v>
      </c>
    </row>
    <row r="171" spans="1:5" x14ac:dyDescent="0.25">
      <c r="A171">
        <f t="shared" si="2"/>
        <v>170</v>
      </c>
      <c r="C171">
        <v>0</v>
      </c>
      <c r="D171">
        <f>C171+'Excel Support'!$H$29</f>
        <v>7000</v>
      </c>
      <c r="E171">
        <f>C171-'Excel Support'!$H$29</f>
        <v>-7000</v>
      </c>
    </row>
    <row r="172" spans="1:5" x14ac:dyDescent="0.25">
      <c r="A172">
        <f t="shared" si="2"/>
        <v>171</v>
      </c>
      <c r="C172">
        <v>0</v>
      </c>
      <c r="D172">
        <f>C172+'Excel Support'!$H$29</f>
        <v>7000</v>
      </c>
      <c r="E172">
        <f>C172-'Excel Support'!$H$29</f>
        <v>-7000</v>
      </c>
    </row>
    <row r="173" spans="1:5" x14ac:dyDescent="0.25">
      <c r="A173">
        <f t="shared" si="2"/>
        <v>172</v>
      </c>
      <c r="C173">
        <v>0</v>
      </c>
      <c r="D173">
        <f>C173+'Excel Support'!$H$29</f>
        <v>7000</v>
      </c>
      <c r="E173">
        <f>C173-'Excel Support'!$H$29</f>
        <v>-7000</v>
      </c>
    </row>
    <row r="174" spans="1:5" x14ac:dyDescent="0.25">
      <c r="A174">
        <f t="shared" si="2"/>
        <v>173</v>
      </c>
      <c r="C174">
        <v>0</v>
      </c>
      <c r="D174">
        <f>C174+'Excel Support'!$H$29</f>
        <v>7000</v>
      </c>
      <c r="E174">
        <f>C174-'Excel Support'!$H$29</f>
        <v>-7000</v>
      </c>
    </row>
    <row r="175" spans="1:5" x14ac:dyDescent="0.25">
      <c r="A175">
        <f t="shared" si="2"/>
        <v>174</v>
      </c>
      <c r="C175">
        <v>0</v>
      </c>
      <c r="D175">
        <f>C175+'Excel Support'!$H$29</f>
        <v>7000</v>
      </c>
      <c r="E175">
        <f>C175-'Excel Support'!$H$29</f>
        <v>-7000</v>
      </c>
    </row>
    <row r="176" spans="1:5" x14ac:dyDescent="0.25">
      <c r="A176">
        <f t="shared" si="2"/>
        <v>175</v>
      </c>
      <c r="C176">
        <v>0</v>
      </c>
      <c r="D176">
        <f>C176+'Excel Support'!$H$29</f>
        <v>7000</v>
      </c>
      <c r="E176">
        <f>C176-'Excel Support'!$H$29</f>
        <v>-7000</v>
      </c>
    </row>
    <row r="177" spans="1:5" x14ac:dyDescent="0.25">
      <c r="A177">
        <f t="shared" si="2"/>
        <v>176</v>
      </c>
      <c r="C177">
        <v>0</v>
      </c>
      <c r="D177">
        <f>C177+'Excel Support'!$H$29</f>
        <v>7000</v>
      </c>
      <c r="E177">
        <f>C177-'Excel Support'!$H$29</f>
        <v>-7000</v>
      </c>
    </row>
    <row r="178" spans="1:5" x14ac:dyDescent="0.25">
      <c r="A178">
        <f t="shared" si="2"/>
        <v>177</v>
      </c>
      <c r="C178">
        <v>0</v>
      </c>
      <c r="D178">
        <f>C178+'Excel Support'!$H$29</f>
        <v>7000</v>
      </c>
      <c r="E178">
        <f>C178-'Excel Support'!$H$29</f>
        <v>-7000</v>
      </c>
    </row>
    <row r="179" spans="1:5" x14ac:dyDescent="0.25">
      <c r="A179">
        <f t="shared" si="2"/>
        <v>178</v>
      </c>
      <c r="C179">
        <v>0</v>
      </c>
      <c r="D179">
        <f>C179+'Excel Support'!$H$29</f>
        <v>7000</v>
      </c>
      <c r="E179">
        <f>C179-'Excel Support'!$H$29</f>
        <v>-7000</v>
      </c>
    </row>
    <row r="180" spans="1:5" x14ac:dyDescent="0.25">
      <c r="A180">
        <f t="shared" si="2"/>
        <v>179</v>
      </c>
      <c r="C180">
        <v>0</v>
      </c>
      <c r="D180">
        <f>C180+'Excel Support'!$H$29</f>
        <v>7000</v>
      </c>
      <c r="E180">
        <f>C180-'Excel Support'!$H$29</f>
        <v>-7000</v>
      </c>
    </row>
    <row r="181" spans="1:5" x14ac:dyDescent="0.25">
      <c r="A181">
        <f t="shared" si="2"/>
        <v>180</v>
      </c>
      <c r="C181">
        <v>0</v>
      </c>
      <c r="D181">
        <f>C181+'Excel Support'!$H$29</f>
        <v>7000</v>
      </c>
      <c r="E181">
        <f>C181-'Excel Support'!$H$29</f>
        <v>-7000</v>
      </c>
    </row>
    <row r="182" spans="1:5" x14ac:dyDescent="0.25">
      <c r="A182">
        <f t="shared" si="2"/>
        <v>181</v>
      </c>
      <c r="C182">
        <v>0</v>
      </c>
      <c r="D182">
        <f>C182+'Excel Support'!$H$29</f>
        <v>7000</v>
      </c>
      <c r="E182">
        <f>C182-'Excel Support'!$H$29</f>
        <v>-7000</v>
      </c>
    </row>
    <row r="183" spans="1:5" x14ac:dyDescent="0.25">
      <c r="A183">
        <f t="shared" si="2"/>
        <v>182</v>
      </c>
      <c r="C183">
        <v>0</v>
      </c>
      <c r="D183">
        <f>C183+'Excel Support'!$H$29</f>
        <v>7000</v>
      </c>
      <c r="E183">
        <f>C183-'Excel Support'!$H$29</f>
        <v>-7000</v>
      </c>
    </row>
    <row r="184" spans="1:5" x14ac:dyDescent="0.25">
      <c r="A184">
        <f t="shared" si="2"/>
        <v>183</v>
      </c>
      <c r="C184">
        <v>0</v>
      </c>
      <c r="D184">
        <f>C184+'Excel Support'!$H$29</f>
        <v>7000</v>
      </c>
      <c r="E184">
        <f>C184-'Excel Support'!$H$29</f>
        <v>-7000</v>
      </c>
    </row>
    <row r="185" spans="1:5" x14ac:dyDescent="0.25">
      <c r="A185">
        <f t="shared" si="2"/>
        <v>184</v>
      </c>
      <c r="C185">
        <v>0</v>
      </c>
      <c r="D185">
        <f>C185+'Excel Support'!$H$29</f>
        <v>7000</v>
      </c>
      <c r="E185">
        <f>C185-'Excel Support'!$H$29</f>
        <v>-7000</v>
      </c>
    </row>
    <row r="186" spans="1:5" x14ac:dyDescent="0.25">
      <c r="A186">
        <f t="shared" si="2"/>
        <v>185</v>
      </c>
      <c r="C186">
        <v>0</v>
      </c>
      <c r="D186">
        <f>C186+'Excel Support'!$H$29</f>
        <v>7000</v>
      </c>
      <c r="E186">
        <f>C186-'Excel Support'!$H$29</f>
        <v>-7000</v>
      </c>
    </row>
    <row r="187" spans="1:5" x14ac:dyDescent="0.25">
      <c r="A187">
        <f t="shared" si="2"/>
        <v>186</v>
      </c>
      <c r="C187">
        <v>0</v>
      </c>
      <c r="D187">
        <f>C187+'Excel Support'!$H$29</f>
        <v>7000</v>
      </c>
      <c r="E187">
        <f>C187-'Excel Support'!$H$29</f>
        <v>-7000</v>
      </c>
    </row>
    <row r="188" spans="1:5" x14ac:dyDescent="0.25">
      <c r="A188">
        <f t="shared" si="2"/>
        <v>187</v>
      </c>
      <c r="C188">
        <v>0</v>
      </c>
      <c r="D188">
        <f>C188+'Excel Support'!$H$29</f>
        <v>7000</v>
      </c>
      <c r="E188">
        <f>C188-'Excel Support'!$H$29</f>
        <v>-7000</v>
      </c>
    </row>
    <row r="189" spans="1:5" x14ac:dyDescent="0.25">
      <c r="A189">
        <f t="shared" si="2"/>
        <v>188</v>
      </c>
      <c r="C189">
        <v>0</v>
      </c>
      <c r="D189">
        <f>C189+'Excel Support'!$H$29</f>
        <v>7000</v>
      </c>
      <c r="E189">
        <f>C189-'Excel Support'!$H$29</f>
        <v>-7000</v>
      </c>
    </row>
    <row r="190" spans="1:5" x14ac:dyDescent="0.25">
      <c r="A190">
        <f t="shared" si="2"/>
        <v>189</v>
      </c>
      <c r="C190">
        <v>0</v>
      </c>
      <c r="D190">
        <f>C190+'Excel Support'!$H$29</f>
        <v>7000</v>
      </c>
      <c r="E190">
        <f>C190-'Excel Support'!$H$29</f>
        <v>-7000</v>
      </c>
    </row>
    <row r="191" spans="1:5" x14ac:dyDescent="0.25">
      <c r="A191">
        <f t="shared" si="2"/>
        <v>190</v>
      </c>
      <c r="C191">
        <v>0</v>
      </c>
      <c r="D191">
        <f>C191+'Excel Support'!$H$29</f>
        <v>7000</v>
      </c>
      <c r="E191">
        <f>C191-'Excel Support'!$H$29</f>
        <v>-7000</v>
      </c>
    </row>
    <row r="192" spans="1:5" x14ac:dyDescent="0.25">
      <c r="A192">
        <f t="shared" si="2"/>
        <v>191</v>
      </c>
      <c r="C192">
        <v>0</v>
      </c>
      <c r="D192">
        <f>C192+'Excel Support'!$H$29</f>
        <v>7000</v>
      </c>
      <c r="E192">
        <f>C192-'Excel Support'!$H$29</f>
        <v>-7000</v>
      </c>
    </row>
    <row r="193" spans="1:5" x14ac:dyDescent="0.25">
      <c r="A193">
        <f t="shared" si="2"/>
        <v>192</v>
      </c>
      <c r="C193">
        <v>0</v>
      </c>
      <c r="D193">
        <f>C193+'Excel Support'!$H$29</f>
        <v>7000</v>
      </c>
      <c r="E193">
        <f>C193-'Excel Support'!$H$29</f>
        <v>-7000</v>
      </c>
    </row>
    <row r="194" spans="1:5" x14ac:dyDescent="0.25">
      <c r="A194">
        <f t="shared" si="2"/>
        <v>193</v>
      </c>
      <c r="C194">
        <v>0</v>
      </c>
      <c r="D194">
        <f>C194+'Excel Support'!$H$29</f>
        <v>7000</v>
      </c>
      <c r="E194">
        <f>C194-'Excel Support'!$H$29</f>
        <v>-7000</v>
      </c>
    </row>
    <row r="195" spans="1:5" x14ac:dyDescent="0.25">
      <c r="A195">
        <f t="shared" ref="A195:A258" si="3">A194+1</f>
        <v>194</v>
      </c>
      <c r="C195">
        <v>0</v>
      </c>
      <c r="D195">
        <f>C195+'Excel Support'!$H$29</f>
        <v>7000</v>
      </c>
      <c r="E195">
        <f>C195-'Excel Support'!$H$29</f>
        <v>-7000</v>
      </c>
    </row>
    <row r="196" spans="1:5" x14ac:dyDescent="0.25">
      <c r="A196">
        <f t="shared" si="3"/>
        <v>195</v>
      </c>
      <c r="C196">
        <v>0</v>
      </c>
      <c r="D196">
        <f>C196+'Excel Support'!$H$29</f>
        <v>7000</v>
      </c>
      <c r="E196">
        <f>C196-'Excel Support'!$H$29</f>
        <v>-7000</v>
      </c>
    </row>
    <row r="197" spans="1:5" x14ac:dyDescent="0.25">
      <c r="A197">
        <f t="shared" si="3"/>
        <v>196</v>
      </c>
      <c r="C197">
        <v>0</v>
      </c>
      <c r="D197">
        <f>C197+'Excel Support'!$H$29</f>
        <v>7000</v>
      </c>
      <c r="E197">
        <f>C197-'Excel Support'!$H$29</f>
        <v>-7000</v>
      </c>
    </row>
    <row r="198" spans="1:5" x14ac:dyDescent="0.25">
      <c r="A198">
        <f t="shared" si="3"/>
        <v>197</v>
      </c>
      <c r="C198">
        <v>0</v>
      </c>
      <c r="D198">
        <f>C198+'Excel Support'!$H$29</f>
        <v>7000</v>
      </c>
      <c r="E198">
        <f>C198-'Excel Support'!$H$29</f>
        <v>-7000</v>
      </c>
    </row>
    <row r="199" spans="1:5" x14ac:dyDescent="0.25">
      <c r="A199">
        <f t="shared" si="3"/>
        <v>198</v>
      </c>
      <c r="C199">
        <v>0</v>
      </c>
      <c r="D199">
        <f>C199+'Excel Support'!$H$29</f>
        <v>7000</v>
      </c>
      <c r="E199">
        <f>C199-'Excel Support'!$H$29</f>
        <v>-7000</v>
      </c>
    </row>
    <row r="200" spans="1:5" x14ac:dyDescent="0.25">
      <c r="A200">
        <f t="shared" si="3"/>
        <v>199</v>
      </c>
      <c r="C200">
        <v>0</v>
      </c>
      <c r="D200">
        <f>C200+'Excel Support'!$H$29</f>
        <v>7000</v>
      </c>
      <c r="E200">
        <f>C200-'Excel Support'!$H$29</f>
        <v>-7000</v>
      </c>
    </row>
    <row r="201" spans="1:5" x14ac:dyDescent="0.25">
      <c r="A201">
        <f t="shared" si="3"/>
        <v>200</v>
      </c>
      <c r="C201">
        <v>0</v>
      </c>
      <c r="D201">
        <f>C201+'Excel Support'!$H$29</f>
        <v>7000</v>
      </c>
      <c r="E201">
        <f>C201-'Excel Support'!$H$29</f>
        <v>-7000</v>
      </c>
    </row>
    <row r="202" spans="1:5" x14ac:dyDescent="0.25">
      <c r="A202">
        <f t="shared" si="3"/>
        <v>201</v>
      </c>
      <c r="C202">
        <v>0</v>
      </c>
      <c r="D202">
        <f>C202+'Excel Support'!$H$29</f>
        <v>7000</v>
      </c>
      <c r="E202">
        <f>C202-'Excel Support'!$H$29</f>
        <v>-7000</v>
      </c>
    </row>
    <row r="203" spans="1:5" x14ac:dyDescent="0.25">
      <c r="A203">
        <f t="shared" si="3"/>
        <v>202</v>
      </c>
      <c r="C203">
        <v>0</v>
      </c>
      <c r="D203">
        <f>C203+'Excel Support'!$H$29</f>
        <v>7000</v>
      </c>
      <c r="E203">
        <f>C203-'Excel Support'!$H$29</f>
        <v>-7000</v>
      </c>
    </row>
    <row r="204" spans="1:5" x14ac:dyDescent="0.25">
      <c r="A204">
        <f t="shared" si="3"/>
        <v>203</v>
      </c>
      <c r="C204">
        <v>0</v>
      </c>
      <c r="D204">
        <f>C204+'Excel Support'!$H$29</f>
        <v>7000</v>
      </c>
      <c r="E204">
        <f>C204-'Excel Support'!$H$29</f>
        <v>-7000</v>
      </c>
    </row>
    <row r="205" spans="1:5" x14ac:dyDescent="0.25">
      <c r="A205">
        <f t="shared" si="3"/>
        <v>204</v>
      </c>
      <c r="C205">
        <v>0</v>
      </c>
      <c r="D205">
        <f>C205+'Excel Support'!$H$29</f>
        <v>7000</v>
      </c>
      <c r="E205">
        <f>C205-'Excel Support'!$H$29</f>
        <v>-7000</v>
      </c>
    </row>
    <row r="206" spans="1:5" x14ac:dyDescent="0.25">
      <c r="A206">
        <f t="shared" si="3"/>
        <v>205</v>
      </c>
      <c r="C206">
        <v>0</v>
      </c>
      <c r="D206">
        <f>C206+'Excel Support'!$H$29</f>
        <v>7000</v>
      </c>
      <c r="E206">
        <f>C206-'Excel Support'!$H$29</f>
        <v>-7000</v>
      </c>
    </row>
    <row r="207" spans="1:5" x14ac:dyDescent="0.25">
      <c r="A207">
        <f t="shared" si="3"/>
        <v>206</v>
      </c>
      <c r="C207">
        <v>0</v>
      </c>
      <c r="D207">
        <f>C207+'Excel Support'!$H$29</f>
        <v>7000</v>
      </c>
      <c r="E207">
        <f>C207-'Excel Support'!$H$29</f>
        <v>-7000</v>
      </c>
    </row>
    <row r="208" spans="1:5" x14ac:dyDescent="0.25">
      <c r="A208">
        <f t="shared" si="3"/>
        <v>207</v>
      </c>
      <c r="C208">
        <v>0</v>
      </c>
      <c r="D208">
        <f>C208+'Excel Support'!$H$29</f>
        <v>7000</v>
      </c>
      <c r="E208">
        <f>C208-'Excel Support'!$H$29</f>
        <v>-7000</v>
      </c>
    </row>
    <row r="209" spans="1:5" x14ac:dyDescent="0.25">
      <c r="A209">
        <f t="shared" si="3"/>
        <v>208</v>
      </c>
      <c r="C209">
        <v>0</v>
      </c>
      <c r="D209">
        <f>C209+'Excel Support'!$H$29</f>
        <v>7000</v>
      </c>
      <c r="E209">
        <f>C209-'Excel Support'!$H$29</f>
        <v>-7000</v>
      </c>
    </row>
    <row r="210" spans="1:5" x14ac:dyDescent="0.25">
      <c r="A210">
        <f t="shared" si="3"/>
        <v>209</v>
      </c>
      <c r="C210">
        <v>0</v>
      </c>
      <c r="D210">
        <f>C210+'Excel Support'!$H$29</f>
        <v>7000</v>
      </c>
      <c r="E210">
        <f>C210-'Excel Support'!$H$29</f>
        <v>-7000</v>
      </c>
    </row>
    <row r="211" spans="1:5" x14ac:dyDescent="0.25">
      <c r="A211">
        <f t="shared" si="3"/>
        <v>210</v>
      </c>
      <c r="C211">
        <v>0</v>
      </c>
      <c r="D211">
        <f>C211+'Excel Support'!$H$29</f>
        <v>7000</v>
      </c>
      <c r="E211">
        <f>C211-'Excel Support'!$H$29</f>
        <v>-7000</v>
      </c>
    </row>
    <row r="212" spans="1:5" x14ac:dyDescent="0.25">
      <c r="A212">
        <f t="shared" si="3"/>
        <v>211</v>
      </c>
      <c r="C212">
        <v>0</v>
      </c>
      <c r="D212">
        <f>C212+'Excel Support'!$H$29</f>
        <v>7000</v>
      </c>
      <c r="E212">
        <f>C212-'Excel Support'!$H$29</f>
        <v>-7000</v>
      </c>
    </row>
    <row r="213" spans="1:5" x14ac:dyDescent="0.25">
      <c r="A213">
        <f t="shared" si="3"/>
        <v>212</v>
      </c>
      <c r="C213">
        <v>0</v>
      </c>
      <c r="D213">
        <f>C213+'Excel Support'!$H$29</f>
        <v>7000</v>
      </c>
      <c r="E213">
        <f>C213-'Excel Support'!$H$29</f>
        <v>-7000</v>
      </c>
    </row>
    <row r="214" spans="1:5" x14ac:dyDescent="0.25">
      <c r="A214">
        <f t="shared" si="3"/>
        <v>213</v>
      </c>
      <c r="C214">
        <v>0</v>
      </c>
      <c r="D214">
        <f>C214+'Excel Support'!$H$29</f>
        <v>7000</v>
      </c>
      <c r="E214">
        <f>C214-'Excel Support'!$H$29</f>
        <v>-7000</v>
      </c>
    </row>
    <row r="215" spans="1:5" x14ac:dyDescent="0.25">
      <c r="A215">
        <f t="shared" si="3"/>
        <v>214</v>
      </c>
      <c r="C215">
        <v>0</v>
      </c>
      <c r="D215">
        <f>C215+'Excel Support'!$H$29</f>
        <v>7000</v>
      </c>
      <c r="E215">
        <f>C215-'Excel Support'!$H$29</f>
        <v>-7000</v>
      </c>
    </row>
    <row r="216" spans="1:5" x14ac:dyDescent="0.25">
      <c r="A216">
        <f t="shared" si="3"/>
        <v>215</v>
      </c>
      <c r="C216">
        <v>0</v>
      </c>
      <c r="D216">
        <f>C216+'Excel Support'!$H$29</f>
        <v>7000</v>
      </c>
      <c r="E216">
        <f>C216-'Excel Support'!$H$29</f>
        <v>-7000</v>
      </c>
    </row>
    <row r="217" spans="1:5" x14ac:dyDescent="0.25">
      <c r="A217">
        <f t="shared" si="3"/>
        <v>216</v>
      </c>
      <c r="C217">
        <v>0</v>
      </c>
      <c r="D217">
        <f>C217+'Excel Support'!$H$29</f>
        <v>7000</v>
      </c>
      <c r="E217">
        <f>C217-'Excel Support'!$H$29</f>
        <v>-7000</v>
      </c>
    </row>
    <row r="218" spans="1:5" x14ac:dyDescent="0.25">
      <c r="A218">
        <f t="shared" si="3"/>
        <v>217</v>
      </c>
      <c r="C218">
        <v>0</v>
      </c>
      <c r="D218">
        <f>C218+'Excel Support'!$H$29</f>
        <v>7000</v>
      </c>
      <c r="E218">
        <f>C218-'Excel Support'!$H$29</f>
        <v>-7000</v>
      </c>
    </row>
    <row r="219" spans="1:5" x14ac:dyDescent="0.25">
      <c r="A219">
        <f t="shared" si="3"/>
        <v>218</v>
      </c>
      <c r="C219">
        <v>0</v>
      </c>
      <c r="D219">
        <f>C219+'Excel Support'!$H$29</f>
        <v>7000</v>
      </c>
      <c r="E219">
        <f>C219-'Excel Support'!$H$29</f>
        <v>-7000</v>
      </c>
    </row>
    <row r="220" spans="1:5" x14ac:dyDescent="0.25">
      <c r="A220">
        <f t="shared" si="3"/>
        <v>219</v>
      </c>
      <c r="C220">
        <v>0</v>
      </c>
      <c r="D220">
        <f>C220+'Excel Support'!$H$29</f>
        <v>7000</v>
      </c>
      <c r="E220">
        <f>C220-'Excel Support'!$H$29</f>
        <v>-7000</v>
      </c>
    </row>
    <row r="221" spans="1:5" x14ac:dyDescent="0.25">
      <c r="A221">
        <f t="shared" si="3"/>
        <v>220</v>
      </c>
      <c r="C221">
        <v>0</v>
      </c>
      <c r="D221">
        <f>C221+'Excel Support'!$H$29</f>
        <v>7000</v>
      </c>
      <c r="E221">
        <f>C221-'Excel Support'!$H$29</f>
        <v>-7000</v>
      </c>
    </row>
    <row r="222" spans="1:5" x14ac:dyDescent="0.25">
      <c r="A222">
        <f t="shared" si="3"/>
        <v>221</v>
      </c>
      <c r="C222">
        <v>0</v>
      </c>
      <c r="D222">
        <f>C222+'Excel Support'!$H$29</f>
        <v>7000</v>
      </c>
      <c r="E222">
        <f>C222-'Excel Support'!$H$29</f>
        <v>-7000</v>
      </c>
    </row>
    <row r="223" spans="1:5" x14ac:dyDescent="0.25">
      <c r="A223">
        <f t="shared" si="3"/>
        <v>222</v>
      </c>
      <c r="C223">
        <v>0</v>
      </c>
      <c r="D223">
        <f>C223+'Excel Support'!$H$29</f>
        <v>7000</v>
      </c>
      <c r="E223">
        <f>C223-'Excel Support'!$H$29</f>
        <v>-7000</v>
      </c>
    </row>
    <row r="224" spans="1:5" x14ac:dyDescent="0.25">
      <c r="A224">
        <f t="shared" si="3"/>
        <v>223</v>
      </c>
      <c r="C224">
        <v>0</v>
      </c>
      <c r="D224">
        <f>C224+'Excel Support'!$H$29</f>
        <v>7000</v>
      </c>
      <c r="E224">
        <f>C224-'Excel Support'!$H$29</f>
        <v>-7000</v>
      </c>
    </row>
    <row r="225" spans="1:5" x14ac:dyDescent="0.25">
      <c r="A225">
        <f t="shared" si="3"/>
        <v>224</v>
      </c>
      <c r="C225">
        <v>0</v>
      </c>
      <c r="D225">
        <f>C225+'Excel Support'!$H$29</f>
        <v>7000</v>
      </c>
      <c r="E225">
        <f>C225-'Excel Support'!$H$29</f>
        <v>-7000</v>
      </c>
    </row>
    <row r="226" spans="1:5" x14ac:dyDescent="0.25">
      <c r="A226">
        <f t="shared" si="3"/>
        <v>225</v>
      </c>
      <c r="C226">
        <v>0</v>
      </c>
      <c r="D226">
        <f>C226+'Excel Support'!$H$29</f>
        <v>7000</v>
      </c>
      <c r="E226">
        <f>C226-'Excel Support'!$H$29</f>
        <v>-7000</v>
      </c>
    </row>
    <row r="227" spans="1:5" x14ac:dyDescent="0.25">
      <c r="A227">
        <f t="shared" si="3"/>
        <v>226</v>
      </c>
      <c r="C227">
        <v>0</v>
      </c>
      <c r="D227">
        <f>C227+'Excel Support'!$H$29</f>
        <v>7000</v>
      </c>
      <c r="E227">
        <f>C227-'Excel Support'!$H$29</f>
        <v>-7000</v>
      </c>
    </row>
    <row r="228" spans="1:5" x14ac:dyDescent="0.25">
      <c r="A228">
        <f t="shared" si="3"/>
        <v>227</v>
      </c>
      <c r="C228">
        <v>0</v>
      </c>
      <c r="D228">
        <f>C228+'Excel Support'!$H$29</f>
        <v>7000</v>
      </c>
      <c r="E228">
        <f>C228-'Excel Support'!$H$29</f>
        <v>-7000</v>
      </c>
    </row>
    <row r="229" spans="1:5" x14ac:dyDescent="0.25">
      <c r="A229">
        <f t="shared" si="3"/>
        <v>228</v>
      </c>
      <c r="C229">
        <v>0</v>
      </c>
      <c r="D229">
        <f>C229+'Excel Support'!$H$29</f>
        <v>7000</v>
      </c>
      <c r="E229">
        <f>C229-'Excel Support'!$H$29</f>
        <v>-7000</v>
      </c>
    </row>
    <row r="230" spans="1:5" x14ac:dyDescent="0.25">
      <c r="A230">
        <f t="shared" si="3"/>
        <v>229</v>
      </c>
      <c r="C230">
        <v>0</v>
      </c>
      <c r="D230">
        <f>C230+'Excel Support'!$H$29</f>
        <v>7000</v>
      </c>
      <c r="E230">
        <f>C230-'Excel Support'!$H$29</f>
        <v>-7000</v>
      </c>
    </row>
    <row r="231" spans="1:5" x14ac:dyDescent="0.25">
      <c r="A231">
        <f t="shared" si="3"/>
        <v>230</v>
      </c>
      <c r="C231">
        <v>0</v>
      </c>
      <c r="D231">
        <f>C231+'Excel Support'!$H$29</f>
        <v>7000</v>
      </c>
      <c r="E231">
        <f>C231-'Excel Support'!$H$29</f>
        <v>-7000</v>
      </c>
    </row>
    <row r="232" spans="1:5" x14ac:dyDescent="0.25">
      <c r="A232">
        <f t="shared" si="3"/>
        <v>231</v>
      </c>
      <c r="C232">
        <v>0</v>
      </c>
      <c r="D232">
        <f>C232+'Excel Support'!$H$29</f>
        <v>7000</v>
      </c>
      <c r="E232">
        <f>C232-'Excel Support'!$H$29</f>
        <v>-7000</v>
      </c>
    </row>
    <row r="233" spans="1:5" x14ac:dyDescent="0.25">
      <c r="A233">
        <f t="shared" si="3"/>
        <v>232</v>
      </c>
      <c r="C233">
        <v>0</v>
      </c>
      <c r="D233">
        <f>C233+'Excel Support'!$H$29</f>
        <v>7000</v>
      </c>
      <c r="E233">
        <f>C233-'Excel Support'!$H$29</f>
        <v>-7000</v>
      </c>
    </row>
    <row r="234" spans="1:5" x14ac:dyDescent="0.25">
      <c r="A234">
        <f t="shared" si="3"/>
        <v>233</v>
      </c>
      <c r="C234">
        <v>0</v>
      </c>
      <c r="D234">
        <f>C234+'Excel Support'!$H$29</f>
        <v>7000</v>
      </c>
      <c r="E234">
        <f>C234-'Excel Support'!$H$29</f>
        <v>-7000</v>
      </c>
    </row>
    <row r="235" spans="1:5" x14ac:dyDescent="0.25">
      <c r="A235">
        <f t="shared" si="3"/>
        <v>234</v>
      </c>
      <c r="C235">
        <v>0</v>
      </c>
      <c r="D235">
        <f>C235+'Excel Support'!$H$29</f>
        <v>7000</v>
      </c>
      <c r="E235">
        <f>C235-'Excel Support'!$H$29</f>
        <v>-7000</v>
      </c>
    </row>
    <row r="236" spans="1:5" x14ac:dyDescent="0.25">
      <c r="A236">
        <f t="shared" si="3"/>
        <v>235</v>
      </c>
      <c r="C236">
        <v>0</v>
      </c>
      <c r="D236">
        <f>C236+'Excel Support'!$H$29</f>
        <v>7000</v>
      </c>
      <c r="E236">
        <f>C236-'Excel Support'!$H$29</f>
        <v>-7000</v>
      </c>
    </row>
    <row r="237" spans="1:5" x14ac:dyDescent="0.25">
      <c r="A237">
        <f t="shared" si="3"/>
        <v>236</v>
      </c>
      <c r="C237">
        <v>0</v>
      </c>
      <c r="D237">
        <f>C237+'Excel Support'!$H$29</f>
        <v>7000</v>
      </c>
      <c r="E237">
        <f>C237-'Excel Support'!$H$29</f>
        <v>-7000</v>
      </c>
    </row>
    <row r="238" spans="1:5" x14ac:dyDescent="0.25">
      <c r="A238">
        <f t="shared" si="3"/>
        <v>237</v>
      </c>
      <c r="C238">
        <v>0</v>
      </c>
      <c r="D238">
        <f>C238+'Excel Support'!$H$29</f>
        <v>7000</v>
      </c>
      <c r="E238">
        <f>C238-'Excel Support'!$H$29</f>
        <v>-7000</v>
      </c>
    </row>
    <row r="239" spans="1:5" x14ac:dyDescent="0.25">
      <c r="A239">
        <f t="shared" si="3"/>
        <v>238</v>
      </c>
      <c r="C239">
        <v>0</v>
      </c>
      <c r="D239">
        <f>C239+'Excel Support'!$H$29</f>
        <v>7000</v>
      </c>
      <c r="E239">
        <f>C239-'Excel Support'!$H$29</f>
        <v>-7000</v>
      </c>
    </row>
    <row r="240" spans="1:5" x14ac:dyDescent="0.25">
      <c r="A240">
        <f t="shared" si="3"/>
        <v>239</v>
      </c>
      <c r="C240">
        <v>0</v>
      </c>
      <c r="D240">
        <f>C240+'Excel Support'!$H$29</f>
        <v>7000</v>
      </c>
      <c r="E240">
        <f>C240-'Excel Support'!$H$29</f>
        <v>-7000</v>
      </c>
    </row>
    <row r="241" spans="1:5" x14ac:dyDescent="0.25">
      <c r="A241">
        <f t="shared" si="3"/>
        <v>240</v>
      </c>
      <c r="C241">
        <v>0</v>
      </c>
      <c r="D241">
        <f>C241+'Excel Support'!$H$29</f>
        <v>7000</v>
      </c>
      <c r="E241">
        <f>C241-'Excel Support'!$H$29</f>
        <v>-7000</v>
      </c>
    </row>
    <row r="242" spans="1:5" x14ac:dyDescent="0.25">
      <c r="A242">
        <f t="shared" si="3"/>
        <v>241</v>
      </c>
      <c r="C242">
        <v>0</v>
      </c>
      <c r="D242">
        <f>C242+'Excel Support'!$H$29</f>
        <v>7000</v>
      </c>
      <c r="E242">
        <f>C242-'Excel Support'!$H$29</f>
        <v>-7000</v>
      </c>
    </row>
    <row r="243" spans="1:5" x14ac:dyDescent="0.25">
      <c r="A243">
        <f t="shared" si="3"/>
        <v>242</v>
      </c>
      <c r="C243">
        <v>0</v>
      </c>
      <c r="D243">
        <f>C243+'Excel Support'!$H$29</f>
        <v>7000</v>
      </c>
      <c r="E243">
        <f>C243-'Excel Support'!$H$29</f>
        <v>-7000</v>
      </c>
    </row>
    <row r="244" spans="1:5" x14ac:dyDescent="0.25">
      <c r="A244">
        <f t="shared" si="3"/>
        <v>243</v>
      </c>
      <c r="C244">
        <v>0</v>
      </c>
      <c r="D244">
        <f>C244+'Excel Support'!$H$29</f>
        <v>7000</v>
      </c>
      <c r="E244">
        <f>C244-'Excel Support'!$H$29</f>
        <v>-7000</v>
      </c>
    </row>
    <row r="245" spans="1:5" x14ac:dyDescent="0.25">
      <c r="A245">
        <f t="shared" si="3"/>
        <v>244</v>
      </c>
      <c r="C245">
        <v>0</v>
      </c>
      <c r="D245">
        <f>C245+'Excel Support'!$H$29</f>
        <v>7000</v>
      </c>
      <c r="E245">
        <f>C245-'Excel Support'!$H$29</f>
        <v>-7000</v>
      </c>
    </row>
    <row r="246" spans="1:5" x14ac:dyDescent="0.25">
      <c r="A246">
        <f t="shared" si="3"/>
        <v>245</v>
      </c>
      <c r="C246">
        <v>0</v>
      </c>
      <c r="D246">
        <f>C246+'Excel Support'!$H$29</f>
        <v>7000</v>
      </c>
      <c r="E246">
        <f>C246-'Excel Support'!$H$29</f>
        <v>-7000</v>
      </c>
    </row>
    <row r="247" spans="1:5" x14ac:dyDescent="0.25">
      <c r="A247">
        <f t="shared" si="3"/>
        <v>246</v>
      </c>
      <c r="C247">
        <v>0</v>
      </c>
      <c r="D247">
        <f>C247+'Excel Support'!$H$29</f>
        <v>7000</v>
      </c>
      <c r="E247">
        <f>C247-'Excel Support'!$H$29</f>
        <v>-7000</v>
      </c>
    </row>
    <row r="248" spans="1:5" x14ac:dyDescent="0.25">
      <c r="A248">
        <f t="shared" si="3"/>
        <v>247</v>
      </c>
      <c r="C248">
        <v>0</v>
      </c>
      <c r="D248">
        <f>C248+'Excel Support'!$H$29</f>
        <v>7000</v>
      </c>
      <c r="E248">
        <f>C248-'Excel Support'!$H$29</f>
        <v>-7000</v>
      </c>
    </row>
    <row r="249" spans="1:5" x14ac:dyDescent="0.25">
      <c r="A249">
        <f t="shared" si="3"/>
        <v>248</v>
      </c>
      <c r="C249">
        <v>0</v>
      </c>
      <c r="D249">
        <f>C249+'Excel Support'!$H$29</f>
        <v>7000</v>
      </c>
      <c r="E249">
        <f>C249-'Excel Support'!$H$29</f>
        <v>-7000</v>
      </c>
    </row>
    <row r="250" spans="1:5" x14ac:dyDescent="0.25">
      <c r="A250">
        <f t="shared" si="3"/>
        <v>249</v>
      </c>
      <c r="C250">
        <v>0</v>
      </c>
      <c r="D250">
        <f>C250+'Excel Support'!$H$29</f>
        <v>7000</v>
      </c>
      <c r="E250">
        <f>C250-'Excel Support'!$H$29</f>
        <v>-7000</v>
      </c>
    </row>
    <row r="251" spans="1:5" x14ac:dyDescent="0.25">
      <c r="A251">
        <f t="shared" si="3"/>
        <v>250</v>
      </c>
      <c r="C251">
        <v>0</v>
      </c>
      <c r="D251">
        <f>C251+'Excel Support'!$H$29</f>
        <v>7000</v>
      </c>
      <c r="E251">
        <f>C251-'Excel Support'!$H$29</f>
        <v>-7000</v>
      </c>
    </row>
    <row r="252" spans="1:5" x14ac:dyDescent="0.25">
      <c r="A252">
        <f t="shared" si="3"/>
        <v>251</v>
      </c>
      <c r="C252">
        <v>0</v>
      </c>
      <c r="D252">
        <f>C252+'Excel Support'!$H$29</f>
        <v>7000</v>
      </c>
      <c r="E252">
        <f>C252-'Excel Support'!$H$29</f>
        <v>-7000</v>
      </c>
    </row>
    <row r="253" spans="1:5" x14ac:dyDescent="0.25">
      <c r="A253">
        <f t="shared" si="3"/>
        <v>252</v>
      </c>
      <c r="C253">
        <v>0</v>
      </c>
      <c r="D253">
        <f>C253+'Excel Support'!$H$29</f>
        <v>7000</v>
      </c>
      <c r="E253">
        <f>C253-'Excel Support'!$H$29</f>
        <v>-7000</v>
      </c>
    </row>
    <row r="254" spans="1:5" x14ac:dyDescent="0.25">
      <c r="A254">
        <f t="shared" si="3"/>
        <v>253</v>
      </c>
      <c r="C254">
        <v>0</v>
      </c>
      <c r="D254">
        <f>C254+'Excel Support'!$H$29</f>
        <v>7000</v>
      </c>
      <c r="E254">
        <f>C254-'Excel Support'!$H$29</f>
        <v>-7000</v>
      </c>
    </row>
    <row r="255" spans="1:5" x14ac:dyDescent="0.25">
      <c r="A255">
        <f t="shared" si="3"/>
        <v>254</v>
      </c>
      <c r="C255">
        <v>0</v>
      </c>
      <c r="D255">
        <f>C255+'Excel Support'!$H$29</f>
        <v>7000</v>
      </c>
      <c r="E255">
        <f>C255-'Excel Support'!$H$29</f>
        <v>-7000</v>
      </c>
    </row>
    <row r="256" spans="1:5" x14ac:dyDescent="0.25">
      <c r="A256">
        <f t="shared" si="3"/>
        <v>255</v>
      </c>
      <c r="C256">
        <v>0</v>
      </c>
      <c r="D256">
        <f>C256+'Excel Support'!$H$29</f>
        <v>7000</v>
      </c>
      <c r="E256">
        <f>C256-'Excel Support'!$H$29</f>
        <v>-7000</v>
      </c>
    </row>
    <row r="257" spans="1:5" x14ac:dyDescent="0.25">
      <c r="A257">
        <f t="shared" si="3"/>
        <v>256</v>
      </c>
      <c r="C257">
        <v>0</v>
      </c>
      <c r="D257">
        <f>C257+'Excel Support'!$H$29</f>
        <v>7000</v>
      </c>
      <c r="E257">
        <f>C257-'Excel Support'!$H$29</f>
        <v>-7000</v>
      </c>
    </row>
    <row r="258" spans="1:5" x14ac:dyDescent="0.25">
      <c r="A258">
        <f t="shared" si="3"/>
        <v>257</v>
      </c>
      <c r="C258">
        <v>0</v>
      </c>
      <c r="D258">
        <f>C258+'Excel Support'!$H$29</f>
        <v>7000</v>
      </c>
      <c r="E258">
        <f>C258-'Excel Support'!$H$29</f>
        <v>-7000</v>
      </c>
    </row>
    <row r="259" spans="1:5" x14ac:dyDescent="0.25">
      <c r="A259">
        <f t="shared" ref="A259:A322" si="4">A258+1</f>
        <v>258</v>
      </c>
      <c r="C259">
        <v>0</v>
      </c>
      <c r="D259">
        <f>C259+'Excel Support'!$H$29</f>
        <v>7000</v>
      </c>
      <c r="E259">
        <f>C259-'Excel Support'!$H$29</f>
        <v>-7000</v>
      </c>
    </row>
    <row r="260" spans="1:5" x14ac:dyDescent="0.25">
      <c r="A260">
        <f t="shared" si="4"/>
        <v>259</v>
      </c>
      <c r="C260">
        <v>0</v>
      </c>
      <c r="D260">
        <f>C260+'Excel Support'!$H$29</f>
        <v>7000</v>
      </c>
      <c r="E260">
        <f>C260-'Excel Support'!$H$29</f>
        <v>-7000</v>
      </c>
    </row>
    <row r="261" spans="1:5" x14ac:dyDescent="0.25">
      <c r="A261">
        <f t="shared" si="4"/>
        <v>260</v>
      </c>
      <c r="C261">
        <v>0</v>
      </c>
      <c r="D261">
        <f>C261+'Excel Support'!$H$29</f>
        <v>7000</v>
      </c>
      <c r="E261">
        <f>C261-'Excel Support'!$H$29</f>
        <v>-7000</v>
      </c>
    </row>
    <row r="262" spans="1:5" x14ac:dyDescent="0.25">
      <c r="A262">
        <f t="shared" si="4"/>
        <v>261</v>
      </c>
      <c r="C262">
        <v>0</v>
      </c>
      <c r="D262">
        <f>C262+'Excel Support'!$H$29</f>
        <v>7000</v>
      </c>
      <c r="E262">
        <f>C262-'Excel Support'!$H$29</f>
        <v>-7000</v>
      </c>
    </row>
    <row r="263" spans="1:5" x14ac:dyDescent="0.25">
      <c r="A263">
        <f t="shared" si="4"/>
        <v>262</v>
      </c>
      <c r="C263">
        <v>0</v>
      </c>
      <c r="D263">
        <f>C263+'Excel Support'!$H$29</f>
        <v>7000</v>
      </c>
      <c r="E263">
        <f>C263-'Excel Support'!$H$29</f>
        <v>-7000</v>
      </c>
    </row>
    <row r="264" spans="1:5" x14ac:dyDescent="0.25">
      <c r="A264">
        <f t="shared" si="4"/>
        <v>263</v>
      </c>
      <c r="C264">
        <v>0</v>
      </c>
      <c r="D264">
        <f>C264+'Excel Support'!$H$29</f>
        <v>7000</v>
      </c>
      <c r="E264">
        <f>C264-'Excel Support'!$H$29</f>
        <v>-7000</v>
      </c>
    </row>
    <row r="265" spans="1:5" x14ac:dyDescent="0.25">
      <c r="A265">
        <f t="shared" si="4"/>
        <v>264</v>
      </c>
      <c r="C265">
        <v>0</v>
      </c>
      <c r="D265">
        <f>C265+'Excel Support'!$H$29</f>
        <v>7000</v>
      </c>
      <c r="E265">
        <f>C265-'Excel Support'!$H$29</f>
        <v>-7000</v>
      </c>
    </row>
    <row r="266" spans="1:5" x14ac:dyDescent="0.25">
      <c r="A266">
        <f t="shared" si="4"/>
        <v>265</v>
      </c>
      <c r="C266">
        <v>0</v>
      </c>
      <c r="D266">
        <f>C266+'Excel Support'!$H$29</f>
        <v>7000</v>
      </c>
      <c r="E266">
        <f>C266-'Excel Support'!$H$29</f>
        <v>-7000</v>
      </c>
    </row>
    <row r="267" spans="1:5" x14ac:dyDescent="0.25">
      <c r="A267">
        <f t="shared" si="4"/>
        <v>266</v>
      </c>
      <c r="C267">
        <v>0</v>
      </c>
      <c r="D267">
        <f>C267+'Excel Support'!$H$29</f>
        <v>7000</v>
      </c>
      <c r="E267">
        <f>C267-'Excel Support'!$H$29</f>
        <v>-7000</v>
      </c>
    </row>
    <row r="268" spans="1:5" x14ac:dyDescent="0.25">
      <c r="A268">
        <f t="shared" si="4"/>
        <v>267</v>
      </c>
      <c r="C268">
        <v>0</v>
      </c>
      <c r="D268">
        <f>C268+'Excel Support'!$H$29</f>
        <v>7000</v>
      </c>
      <c r="E268">
        <f>C268-'Excel Support'!$H$29</f>
        <v>-7000</v>
      </c>
    </row>
    <row r="269" spans="1:5" x14ac:dyDescent="0.25">
      <c r="A269">
        <f t="shared" si="4"/>
        <v>268</v>
      </c>
      <c r="C269">
        <v>0</v>
      </c>
      <c r="D269">
        <f>C269+'Excel Support'!$H$29</f>
        <v>7000</v>
      </c>
      <c r="E269">
        <f>C269-'Excel Support'!$H$29</f>
        <v>-7000</v>
      </c>
    </row>
    <row r="270" spans="1:5" x14ac:dyDescent="0.25">
      <c r="A270">
        <f t="shared" si="4"/>
        <v>269</v>
      </c>
      <c r="C270">
        <v>0</v>
      </c>
      <c r="D270">
        <f>C270+'Excel Support'!$H$29</f>
        <v>7000</v>
      </c>
      <c r="E270">
        <f>C270-'Excel Support'!$H$29</f>
        <v>-7000</v>
      </c>
    </row>
    <row r="271" spans="1:5" x14ac:dyDescent="0.25">
      <c r="A271">
        <f t="shared" si="4"/>
        <v>270</v>
      </c>
      <c r="C271">
        <v>0</v>
      </c>
      <c r="D271">
        <f>C271+'Excel Support'!$H$29</f>
        <v>7000</v>
      </c>
      <c r="E271">
        <f>C271-'Excel Support'!$H$29</f>
        <v>-7000</v>
      </c>
    </row>
    <row r="272" spans="1:5" x14ac:dyDescent="0.25">
      <c r="A272">
        <f t="shared" si="4"/>
        <v>271</v>
      </c>
      <c r="C272">
        <v>0</v>
      </c>
      <c r="D272">
        <f>C272+'Excel Support'!$H$29</f>
        <v>7000</v>
      </c>
      <c r="E272">
        <f>C272-'Excel Support'!$H$29</f>
        <v>-7000</v>
      </c>
    </row>
    <row r="273" spans="1:5" x14ac:dyDescent="0.25">
      <c r="A273">
        <f t="shared" si="4"/>
        <v>272</v>
      </c>
      <c r="C273">
        <v>0</v>
      </c>
      <c r="D273">
        <f>C273+'Excel Support'!$H$29</f>
        <v>7000</v>
      </c>
      <c r="E273">
        <f>C273-'Excel Support'!$H$29</f>
        <v>-7000</v>
      </c>
    </row>
    <row r="274" spans="1:5" x14ac:dyDescent="0.25">
      <c r="A274">
        <f t="shared" si="4"/>
        <v>273</v>
      </c>
      <c r="C274">
        <v>0</v>
      </c>
      <c r="D274">
        <f>C274+'Excel Support'!$H$29</f>
        <v>7000</v>
      </c>
      <c r="E274">
        <f>C274-'Excel Support'!$H$29</f>
        <v>-7000</v>
      </c>
    </row>
    <row r="275" spans="1:5" x14ac:dyDescent="0.25">
      <c r="A275">
        <f t="shared" si="4"/>
        <v>274</v>
      </c>
      <c r="C275">
        <v>0</v>
      </c>
      <c r="D275">
        <f>C275+'Excel Support'!$H$29</f>
        <v>7000</v>
      </c>
      <c r="E275">
        <f>C275-'Excel Support'!$H$29</f>
        <v>-7000</v>
      </c>
    </row>
    <row r="276" spans="1:5" x14ac:dyDescent="0.25">
      <c r="A276">
        <f t="shared" si="4"/>
        <v>275</v>
      </c>
      <c r="C276">
        <v>0</v>
      </c>
      <c r="D276">
        <f>C276+'Excel Support'!$H$29</f>
        <v>7000</v>
      </c>
      <c r="E276">
        <f>C276-'Excel Support'!$H$29</f>
        <v>-7000</v>
      </c>
    </row>
    <row r="277" spans="1:5" x14ac:dyDescent="0.25">
      <c r="A277">
        <f t="shared" si="4"/>
        <v>276</v>
      </c>
      <c r="C277">
        <v>0</v>
      </c>
      <c r="D277">
        <f>C277+'Excel Support'!$H$29</f>
        <v>7000</v>
      </c>
      <c r="E277">
        <f>C277-'Excel Support'!$H$29</f>
        <v>-7000</v>
      </c>
    </row>
    <row r="278" spans="1:5" x14ac:dyDescent="0.25">
      <c r="A278">
        <f t="shared" si="4"/>
        <v>277</v>
      </c>
      <c r="C278">
        <v>0</v>
      </c>
      <c r="D278">
        <f>C278+'Excel Support'!$H$29</f>
        <v>7000</v>
      </c>
      <c r="E278">
        <f>C278-'Excel Support'!$H$29</f>
        <v>-7000</v>
      </c>
    </row>
    <row r="279" spans="1:5" x14ac:dyDescent="0.25">
      <c r="A279">
        <f t="shared" si="4"/>
        <v>278</v>
      </c>
      <c r="C279">
        <v>0</v>
      </c>
      <c r="D279">
        <f>C279+'Excel Support'!$H$29</f>
        <v>7000</v>
      </c>
      <c r="E279">
        <f>C279-'Excel Support'!$H$29</f>
        <v>-7000</v>
      </c>
    </row>
    <row r="280" spans="1:5" x14ac:dyDescent="0.25">
      <c r="A280">
        <f t="shared" si="4"/>
        <v>279</v>
      </c>
      <c r="C280">
        <v>0</v>
      </c>
      <c r="D280">
        <f>C280+'Excel Support'!$H$29</f>
        <v>7000</v>
      </c>
      <c r="E280">
        <f>C280-'Excel Support'!$H$29</f>
        <v>-7000</v>
      </c>
    </row>
    <row r="281" spans="1:5" x14ac:dyDescent="0.25">
      <c r="A281">
        <f t="shared" si="4"/>
        <v>280</v>
      </c>
      <c r="C281">
        <v>0</v>
      </c>
      <c r="D281">
        <f>C281+'Excel Support'!$H$29</f>
        <v>7000</v>
      </c>
      <c r="E281">
        <f>C281-'Excel Support'!$H$29</f>
        <v>-7000</v>
      </c>
    </row>
    <row r="282" spans="1:5" x14ac:dyDescent="0.25">
      <c r="A282">
        <f t="shared" si="4"/>
        <v>281</v>
      </c>
      <c r="C282">
        <v>0</v>
      </c>
      <c r="D282">
        <f>C282+'Excel Support'!$H$29</f>
        <v>7000</v>
      </c>
      <c r="E282">
        <f>C282-'Excel Support'!$H$29</f>
        <v>-7000</v>
      </c>
    </row>
    <row r="283" spans="1:5" x14ac:dyDescent="0.25">
      <c r="A283">
        <f t="shared" si="4"/>
        <v>282</v>
      </c>
      <c r="C283">
        <v>0</v>
      </c>
      <c r="D283">
        <f>C283+'Excel Support'!$H$29</f>
        <v>7000</v>
      </c>
      <c r="E283">
        <f>C283-'Excel Support'!$H$29</f>
        <v>-7000</v>
      </c>
    </row>
    <row r="284" spans="1:5" x14ac:dyDescent="0.25">
      <c r="A284">
        <f t="shared" si="4"/>
        <v>283</v>
      </c>
      <c r="C284">
        <v>0</v>
      </c>
      <c r="D284">
        <f>C284+'Excel Support'!$H$29</f>
        <v>7000</v>
      </c>
      <c r="E284">
        <f>C284-'Excel Support'!$H$29</f>
        <v>-7000</v>
      </c>
    </row>
    <row r="285" spans="1:5" x14ac:dyDescent="0.25">
      <c r="A285">
        <f t="shared" si="4"/>
        <v>284</v>
      </c>
      <c r="C285">
        <v>0</v>
      </c>
      <c r="D285">
        <f>C285+'Excel Support'!$H$29</f>
        <v>7000</v>
      </c>
      <c r="E285">
        <f>C285-'Excel Support'!$H$29</f>
        <v>-7000</v>
      </c>
    </row>
    <row r="286" spans="1:5" x14ac:dyDescent="0.25">
      <c r="A286">
        <f t="shared" si="4"/>
        <v>285</v>
      </c>
      <c r="C286">
        <v>0</v>
      </c>
      <c r="D286">
        <f>C286+'Excel Support'!$H$29</f>
        <v>7000</v>
      </c>
      <c r="E286">
        <f>C286-'Excel Support'!$H$29</f>
        <v>-7000</v>
      </c>
    </row>
    <row r="287" spans="1:5" x14ac:dyDescent="0.25">
      <c r="A287">
        <f t="shared" si="4"/>
        <v>286</v>
      </c>
      <c r="C287">
        <v>0</v>
      </c>
      <c r="D287">
        <f>C287+'Excel Support'!$H$29</f>
        <v>7000</v>
      </c>
      <c r="E287">
        <f>C287-'Excel Support'!$H$29</f>
        <v>-7000</v>
      </c>
    </row>
    <row r="288" spans="1:5" x14ac:dyDescent="0.25">
      <c r="A288">
        <f t="shared" si="4"/>
        <v>287</v>
      </c>
      <c r="C288">
        <v>0</v>
      </c>
      <c r="D288">
        <f>C288+'Excel Support'!$H$29</f>
        <v>7000</v>
      </c>
      <c r="E288">
        <f>C288-'Excel Support'!$H$29</f>
        <v>-7000</v>
      </c>
    </row>
    <row r="289" spans="1:5" x14ac:dyDescent="0.25">
      <c r="A289">
        <f t="shared" si="4"/>
        <v>288</v>
      </c>
      <c r="C289">
        <v>0</v>
      </c>
      <c r="D289">
        <f>C289+'Excel Support'!$H$29</f>
        <v>7000</v>
      </c>
      <c r="E289">
        <f>C289-'Excel Support'!$H$29</f>
        <v>-7000</v>
      </c>
    </row>
    <row r="290" spans="1:5" x14ac:dyDescent="0.25">
      <c r="A290">
        <f t="shared" si="4"/>
        <v>289</v>
      </c>
      <c r="C290">
        <v>0</v>
      </c>
      <c r="D290">
        <f>C290+'Excel Support'!$H$29</f>
        <v>7000</v>
      </c>
      <c r="E290">
        <f>C290-'Excel Support'!$H$29</f>
        <v>-7000</v>
      </c>
    </row>
    <row r="291" spans="1:5" x14ac:dyDescent="0.25">
      <c r="A291">
        <f t="shared" si="4"/>
        <v>290</v>
      </c>
      <c r="C291">
        <v>0</v>
      </c>
      <c r="D291">
        <f>C291+'Excel Support'!$H$29</f>
        <v>7000</v>
      </c>
      <c r="E291">
        <f>C291-'Excel Support'!$H$29</f>
        <v>-7000</v>
      </c>
    </row>
    <row r="292" spans="1:5" x14ac:dyDescent="0.25">
      <c r="A292">
        <f t="shared" si="4"/>
        <v>291</v>
      </c>
      <c r="C292">
        <v>0</v>
      </c>
      <c r="D292">
        <f>C292+'Excel Support'!$H$29</f>
        <v>7000</v>
      </c>
      <c r="E292">
        <f>C292-'Excel Support'!$H$29</f>
        <v>-7000</v>
      </c>
    </row>
    <row r="293" spans="1:5" x14ac:dyDescent="0.25">
      <c r="A293">
        <f t="shared" si="4"/>
        <v>292</v>
      </c>
      <c r="C293">
        <v>0</v>
      </c>
      <c r="D293">
        <f>C293+'Excel Support'!$H$29</f>
        <v>7000</v>
      </c>
      <c r="E293">
        <f>C293-'Excel Support'!$H$29</f>
        <v>-7000</v>
      </c>
    </row>
    <row r="294" spans="1:5" x14ac:dyDescent="0.25">
      <c r="A294">
        <f t="shared" si="4"/>
        <v>293</v>
      </c>
      <c r="C294">
        <v>0</v>
      </c>
      <c r="D294">
        <f>C294+'Excel Support'!$H$29</f>
        <v>7000</v>
      </c>
      <c r="E294">
        <f>C294-'Excel Support'!$H$29</f>
        <v>-7000</v>
      </c>
    </row>
    <row r="295" spans="1:5" x14ac:dyDescent="0.25">
      <c r="A295">
        <f t="shared" si="4"/>
        <v>294</v>
      </c>
      <c r="C295">
        <v>0</v>
      </c>
      <c r="D295">
        <f>C295+'Excel Support'!$H$29</f>
        <v>7000</v>
      </c>
      <c r="E295">
        <f>C295-'Excel Support'!$H$29</f>
        <v>-7000</v>
      </c>
    </row>
    <row r="296" spans="1:5" x14ac:dyDescent="0.25">
      <c r="A296">
        <f t="shared" si="4"/>
        <v>295</v>
      </c>
      <c r="C296">
        <v>0</v>
      </c>
      <c r="D296">
        <f>C296+'Excel Support'!$H$29</f>
        <v>7000</v>
      </c>
      <c r="E296">
        <f>C296-'Excel Support'!$H$29</f>
        <v>-7000</v>
      </c>
    </row>
    <row r="297" spans="1:5" x14ac:dyDescent="0.25">
      <c r="A297">
        <f t="shared" si="4"/>
        <v>296</v>
      </c>
      <c r="C297">
        <v>0</v>
      </c>
      <c r="D297">
        <f>C297+'Excel Support'!$H$29</f>
        <v>7000</v>
      </c>
      <c r="E297">
        <f>C297-'Excel Support'!$H$29</f>
        <v>-7000</v>
      </c>
    </row>
    <row r="298" spans="1:5" x14ac:dyDescent="0.25">
      <c r="A298">
        <f t="shared" si="4"/>
        <v>297</v>
      </c>
      <c r="C298">
        <v>0</v>
      </c>
      <c r="D298">
        <f>C298+'Excel Support'!$H$29</f>
        <v>7000</v>
      </c>
      <c r="E298">
        <f>C298-'Excel Support'!$H$29</f>
        <v>-7000</v>
      </c>
    </row>
    <row r="299" spans="1:5" x14ac:dyDescent="0.25">
      <c r="A299">
        <f t="shared" si="4"/>
        <v>298</v>
      </c>
      <c r="C299">
        <v>0</v>
      </c>
      <c r="D299">
        <f>C299+'Excel Support'!$H$29</f>
        <v>7000</v>
      </c>
      <c r="E299">
        <f>C299-'Excel Support'!$H$29</f>
        <v>-7000</v>
      </c>
    </row>
    <row r="300" spans="1:5" x14ac:dyDescent="0.25">
      <c r="A300">
        <f t="shared" si="4"/>
        <v>299</v>
      </c>
      <c r="C300">
        <v>0</v>
      </c>
      <c r="D300">
        <f>C300+'Excel Support'!$H$29</f>
        <v>7000</v>
      </c>
      <c r="E300">
        <f>C300-'Excel Support'!$H$29</f>
        <v>-7000</v>
      </c>
    </row>
    <row r="301" spans="1:5" x14ac:dyDescent="0.25">
      <c r="A301">
        <f t="shared" si="4"/>
        <v>300</v>
      </c>
      <c r="C301">
        <v>0</v>
      </c>
      <c r="D301">
        <f>C301+'Excel Support'!$H$29</f>
        <v>7000</v>
      </c>
      <c r="E301">
        <f>C301-'Excel Support'!$H$29</f>
        <v>-7000</v>
      </c>
    </row>
    <row r="302" spans="1:5" x14ac:dyDescent="0.25">
      <c r="A302">
        <f t="shared" si="4"/>
        <v>301</v>
      </c>
      <c r="C302">
        <v>0</v>
      </c>
      <c r="D302">
        <f>C302+'Excel Support'!$H$29</f>
        <v>7000</v>
      </c>
      <c r="E302">
        <f>C302-'Excel Support'!$H$29</f>
        <v>-7000</v>
      </c>
    </row>
    <row r="303" spans="1:5" x14ac:dyDescent="0.25">
      <c r="A303">
        <f t="shared" si="4"/>
        <v>302</v>
      </c>
      <c r="C303">
        <v>0</v>
      </c>
      <c r="D303">
        <f>C303+'Excel Support'!$H$29</f>
        <v>7000</v>
      </c>
      <c r="E303">
        <f>C303-'Excel Support'!$H$29</f>
        <v>-7000</v>
      </c>
    </row>
    <row r="304" spans="1:5" x14ac:dyDescent="0.25">
      <c r="A304">
        <f t="shared" si="4"/>
        <v>303</v>
      </c>
      <c r="C304">
        <v>0</v>
      </c>
      <c r="D304">
        <f>C304+'Excel Support'!$H$29</f>
        <v>7000</v>
      </c>
      <c r="E304">
        <f>C304-'Excel Support'!$H$29</f>
        <v>-7000</v>
      </c>
    </row>
    <row r="305" spans="1:5" x14ac:dyDescent="0.25">
      <c r="A305">
        <f t="shared" si="4"/>
        <v>304</v>
      </c>
      <c r="C305">
        <v>0</v>
      </c>
      <c r="D305">
        <f>C305+'Excel Support'!$H$29</f>
        <v>7000</v>
      </c>
      <c r="E305">
        <f>C305-'Excel Support'!$H$29</f>
        <v>-7000</v>
      </c>
    </row>
    <row r="306" spans="1:5" x14ac:dyDescent="0.25">
      <c r="A306">
        <f t="shared" si="4"/>
        <v>305</v>
      </c>
      <c r="C306">
        <v>0</v>
      </c>
      <c r="D306">
        <f>C306+'Excel Support'!$H$29</f>
        <v>7000</v>
      </c>
      <c r="E306">
        <f>C306-'Excel Support'!$H$29</f>
        <v>-7000</v>
      </c>
    </row>
    <row r="307" spans="1:5" x14ac:dyDescent="0.25">
      <c r="A307">
        <f t="shared" si="4"/>
        <v>306</v>
      </c>
      <c r="C307">
        <v>0</v>
      </c>
      <c r="D307">
        <f>C307+'Excel Support'!$H$29</f>
        <v>7000</v>
      </c>
      <c r="E307">
        <f>C307-'Excel Support'!$H$29</f>
        <v>-7000</v>
      </c>
    </row>
    <row r="308" spans="1:5" x14ac:dyDescent="0.25">
      <c r="A308">
        <f t="shared" si="4"/>
        <v>307</v>
      </c>
      <c r="C308">
        <v>0</v>
      </c>
      <c r="D308">
        <f>C308+'Excel Support'!$H$29</f>
        <v>7000</v>
      </c>
      <c r="E308">
        <f>C308-'Excel Support'!$H$29</f>
        <v>-7000</v>
      </c>
    </row>
    <row r="309" spans="1:5" x14ac:dyDescent="0.25">
      <c r="A309">
        <f t="shared" si="4"/>
        <v>308</v>
      </c>
      <c r="C309">
        <v>0</v>
      </c>
      <c r="D309">
        <f>C309+'Excel Support'!$H$29</f>
        <v>7000</v>
      </c>
      <c r="E309">
        <f>C309-'Excel Support'!$H$29</f>
        <v>-7000</v>
      </c>
    </row>
    <row r="310" spans="1:5" x14ac:dyDescent="0.25">
      <c r="A310">
        <f t="shared" si="4"/>
        <v>309</v>
      </c>
      <c r="C310">
        <v>0</v>
      </c>
      <c r="D310">
        <f>C310+'Excel Support'!$H$29</f>
        <v>7000</v>
      </c>
      <c r="E310">
        <f>C310-'Excel Support'!$H$29</f>
        <v>-7000</v>
      </c>
    </row>
    <row r="311" spans="1:5" x14ac:dyDescent="0.25">
      <c r="A311">
        <f t="shared" si="4"/>
        <v>310</v>
      </c>
      <c r="C311">
        <v>0</v>
      </c>
      <c r="D311">
        <f>C311+'Excel Support'!$H$29</f>
        <v>7000</v>
      </c>
      <c r="E311">
        <f>C311-'Excel Support'!$H$29</f>
        <v>-7000</v>
      </c>
    </row>
    <row r="312" spans="1:5" x14ac:dyDescent="0.25">
      <c r="A312">
        <f t="shared" si="4"/>
        <v>311</v>
      </c>
      <c r="C312">
        <v>0</v>
      </c>
      <c r="D312">
        <f>C312+'Excel Support'!$H$29</f>
        <v>7000</v>
      </c>
      <c r="E312">
        <f>C312-'Excel Support'!$H$29</f>
        <v>-7000</v>
      </c>
    </row>
    <row r="313" spans="1:5" x14ac:dyDescent="0.25">
      <c r="A313">
        <f t="shared" si="4"/>
        <v>312</v>
      </c>
      <c r="C313">
        <v>0</v>
      </c>
      <c r="D313">
        <f>C313+'Excel Support'!$H$29</f>
        <v>7000</v>
      </c>
      <c r="E313">
        <f>C313-'Excel Support'!$H$29</f>
        <v>-7000</v>
      </c>
    </row>
    <row r="314" spans="1:5" x14ac:dyDescent="0.25">
      <c r="A314">
        <f t="shared" si="4"/>
        <v>313</v>
      </c>
      <c r="C314">
        <v>0</v>
      </c>
      <c r="D314">
        <f>C314+'Excel Support'!$H$29</f>
        <v>7000</v>
      </c>
      <c r="E314">
        <f>C314-'Excel Support'!$H$29</f>
        <v>-7000</v>
      </c>
    </row>
    <row r="315" spans="1:5" x14ac:dyDescent="0.25">
      <c r="A315">
        <f t="shared" si="4"/>
        <v>314</v>
      </c>
      <c r="C315">
        <v>0</v>
      </c>
      <c r="D315">
        <f>C315+'Excel Support'!$H$29</f>
        <v>7000</v>
      </c>
      <c r="E315">
        <f>C315-'Excel Support'!$H$29</f>
        <v>-7000</v>
      </c>
    </row>
    <row r="316" spans="1:5" x14ac:dyDescent="0.25">
      <c r="A316">
        <f t="shared" si="4"/>
        <v>315</v>
      </c>
      <c r="C316">
        <v>0</v>
      </c>
      <c r="D316">
        <f>C316+'Excel Support'!$H$29</f>
        <v>7000</v>
      </c>
      <c r="E316">
        <f>C316-'Excel Support'!$H$29</f>
        <v>-7000</v>
      </c>
    </row>
    <row r="317" spans="1:5" x14ac:dyDescent="0.25">
      <c r="A317">
        <f t="shared" si="4"/>
        <v>316</v>
      </c>
      <c r="C317">
        <v>0</v>
      </c>
      <c r="D317">
        <f>C317+'Excel Support'!$H$29</f>
        <v>7000</v>
      </c>
      <c r="E317">
        <f>C317-'Excel Support'!$H$29</f>
        <v>-7000</v>
      </c>
    </row>
    <row r="318" spans="1:5" x14ac:dyDescent="0.25">
      <c r="A318">
        <f t="shared" si="4"/>
        <v>317</v>
      </c>
      <c r="C318">
        <v>0</v>
      </c>
      <c r="D318">
        <f>C318+'Excel Support'!$H$29</f>
        <v>7000</v>
      </c>
      <c r="E318">
        <f>C318-'Excel Support'!$H$29</f>
        <v>-7000</v>
      </c>
    </row>
    <row r="319" spans="1:5" x14ac:dyDescent="0.25">
      <c r="A319">
        <f t="shared" si="4"/>
        <v>318</v>
      </c>
      <c r="C319">
        <v>0</v>
      </c>
      <c r="D319">
        <f>C319+'Excel Support'!$H$29</f>
        <v>7000</v>
      </c>
      <c r="E319">
        <f>C319-'Excel Support'!$H$29</f>
        <v>-7000</v>
      </c>
    </row>
    <row r="320" spans="1:5" x14ac:dyDescent="0.25">
      <c r="A320">
        <f t="shared" si="4"/>
        <v>319</v>
      </c>
      <c r="C320">
        <v>0</v>
      </c>
      <c r="D320">
        <f>C320+'Excel Support'!$H$29</f>
        <v>7000</v>
      </c>
      <c r="E320">
        <f>C320-'Excel Support'!$H$29</f>
        <v>-7000</v>
      </c>
    </row>
    <row r="321" spans="1:5" x14ac:dyDescent="0.25">
      <c r="A321">
        <f t="shared" si="4"/>
        <v>320</v>
      </c>
      <c r="C321">
        <v>0</v>
      </c>
      <c r="D321">
        <f>C321+'Excel Support'!$H$29</f>
        <v>7000</v>
      </c>
      <c r="E321">
        <f>C321-'Excel Support'!$H$29</f>
        <v>-7000</v>
      </c>
    </row>
    <row r="322" spans="1:5" x14ac:dyDescent="0.25">
      <c r="A322">
        <f t="shared" si="4"/>
        <v>321</v>
      </c>
      <c r="C322">
        <v>0</v>
      </c>
      <c r="D322">
        <f>C322+'Excel Support'!$H$29</f>
        <v>7000</v>
      </c>
      <c r="E322">
        <f>C322-'Excel Support'!$H$29</f>
        <v>-7000</v>
      </c>
    </row>
    <row r="323" spans="1:5" x14ac:dyDescent="0.25">
      <c r="A323">
        <f t="shared" ref="A323:A386" si="5">A322+1</f>
        <v>322</v>
      </c>
      <c r="C323">
        <v>0</v>
      </c>
      <c r="D323">
        <f>C323+'Excel Support'!$H$29</f>
        <v>7000</v>
      </c>
      <c r="E323">
        <f>C323-'Excel Support'!$H$29</f>
        <v>-7000</v>
      </c>
    </row>
    <row r="324" spans="1:5" x14ac:dyDescent="0.25">
      <c r="A324">
        <f t="shared" si="5"/>
        <v>323</v>
      </c>
      <c r="C324">
        <v>0</v>
      </c>
      <c r="D324">
        <f>C324+'Excel Support'!$H$29</f>
        <v>7000</v>
      </c>
      <c r="E324">
        <f>C324-'Excel Support'!$H$29</f>
        <v>-7000</v>
      </c>
    </row>
    <row r="325" spans="1:5" x14ac:dyDescent="0.25">
      <c r="A325">
        <f t="shared" si="5"/>
        <v>324</v>
      </c>
      <c r="C325">
        <v>0</v>
      </c>
      <c r="D325">
        <f>C325+'Excel Support'!$H$29</f>
        <v>7000</v>
      </c>
      <c r="E325">
        <f>C325-'Excel Support'!$H$29</f>
        <v>-7000</v>
      </c>
    </row>
    <row r="326" spans="1:5" x14ac:dyDescent="0.25">
      <c r="A326">
        <f t="shared" si="5"/>
        <v>325</v>
      </c>
      <c r="C326">
        <v>0</v>
      </c>
      <c r="D326">
        <f>C326+'Excel Support'!$H$29</f>
        <v>7000</v>
      </c>
      <c r="E326">
        <f>C326-'Excel Support'!$H$29</f>
        <v>-7000</v>
      </c>
    </row>
    <row r="327" spans="1:5" x14ac:dyDescent="0.25">
      <c r="A327">
        <f t="shared" si="5"/>
        <v>326</v>
      </c>
      <c r="C327">
        <v>0</v>
      </c>
      <c r="D327">
        <f>C327+'Excel Support'!$H$29</f>
        <v>7000</v>
      </c>
      <c r="E327">
        <f>C327-'Excel Support'!$H$29</f>
        <v>-7000</v>
      </c>
    </row>
    <row r="328" spans="1:5" x14ac:dyDescent="0.25">
      <c r="A328">
        <f t="shared" si="5"/>
        <v>327</v>
      </c>
      <c r="C328">
        <v>0</v>
      </c>
      <c r="D328">
        <f>C328+'Excel Support'!$H$29</f>
        <v>7000</v>
      </c>
      <c r="E328">
        <f>C328-'Excel Support'!$H$29</f>
        <v>-7000</v>
      </c>
    </row>
    <row r="329" spans="1:5" x14ac:dyDescent="0.25">
      <c r="A329">
        <f t="shared" si="5"/>
        <v>328</v>
      </c>
      <c r="C329">
        <v>0</v>
      </c>
      <c r="D329">
        <f>C329+'Excel Support'!$H$29</f>
        <v>7000</v>
      </c>
      <c r="E329">
        <f>C329-'Excel Support'!$H$29</f>
        <v>-7000</v>
      </c>
    </row>
    <row r="330" spans="1:5" x14ac:dyDescent="0.25">
      <c r="A330">
        <f t="shared" si="5"/>
        <v>329</v>
      </c>
      <c r="C330">
        <v>0</v>
      </c>
      <c r="D330">
        <f>C330+'Excel Support'!$H$29</f>
        <v>7000</v>
      </c>
      <c r="E330">
        <f>C330-'Excel Support'!$H$29</f>
        <v>-7000</v>
      </c>
    </row>
    <row r="331" spans="1:5" x14ac:dyDescent="0.25">
      <c r="A331">
        <f t="shared" si="5"/>
        <v>330</v>
      </c>
      <c r="C331">
        <v>0</v>
      </c>
      <c r="D331">
        <f>C331+'Excel Support'!$H$29</f>
        <v>7000</v>
      </c>
      <c r="E331">
        <f>C331-'Excel Support'!$H$29</f>
        <v>-7000</v>
      </c>
    </row>
    <row r="332" spans="1:5" x14ac:dyDescent="0.25">
      <c r="A332">
        <f t="shared" si="5"/>
        <v>331</v>
      </c>
      <c r="C332">
        <v>0</v>
      </c>
      <c r="D332">
        <f>C332+'Excel Support'!$H$29</f>
        <v>7000</v>
      </c>
      <c r="E332">
        <f>C332-'Excel Support'!$H$29</f>
        <v>-7000</v>
      </c>
    </row>
    <row r="333" spans="1:5" x14ac:dyDescent="0.25">
      <c r="A333">
        <f t="shared" si="5"/>
        <v>332</v>
      </c>
      <c r="C333">
        <v>0</v>
      </c>
      <c r="D333">
        <f>C333+'Excel Support'!$H$29</f>
        <v>7000</v>
      </c>
      <c r="E333">
        <f>C333-'Excel Support'!$H$29</f>
        <v>-7000</v>
      </c>
    </row>
    <row r="334" spans="1:5" x14ac:dyDescent="0.25">
      <c r="A334">
        <f t="shared" si="5"/>
        <v>333</v>
      </c>
      <c r="C334">
        <v>0</v>
      </c>
      <c r="D334">
        <f>C334+'Excel Support'!$H$29</f>
        <v>7000</v>
      </c>
      <c r="E334">
        <f>C334-'Excel Support'!$H$29</f>
        <v>-7000</v>
      </c>
    </row>
    <row r="335" spans="1:5" x14ac:dyDescent="0.25">
      <c r="A335">
        <f t="shared" si="5"/>
        <v>334</v>
      </c>
      <c r="C335">
        <v>0</v>
      </c>
      <c r="D335">
        <f>C335+'Excel Support'!$H$29</f>
        <v>7000</v>
      </c>
      <c r="E335">
        <f>C335-'Excel Support'!$H$29</f>
        <v>-7000</v>
      </c>
    </row>
    <row r="336" spans="1:5" x14ac:dyDescent="0.25">
      <c r="A336">
        <f t="shared" si="5"/>
        <v>335</v>
      </c>
      <c r="C336">
        <v>0</v>
      </c>
      <c r="D336">
        <f>C336+'Excel Support'!$H$29</f>
        <v>7000</v>
      </c>
      <c r="E336">
        <f>C336-'Excel Support'!$H$29</f>
        <v>-7000</v>
      </c>
    </row>
    <row r="337" spans="1:5" x14ac:dyDescent="0.25">
      <c r="A337">
        <f t="shared" si="5"/>
        <v>336</v>
      </c>
      <c r="C337">
        <v>0</v>
      </c>
      <c r="D337">
        <f>C337+'Excel Support'!$H$29</f>
        <v>7000</v>
      </c>
      <c r="E337">
        <f>C337-'Excel Support'!$H$29</f>
        <v>-7000</v>
      </c>
    </row>
    <row r="338" spans="1:5" x14ac:dyDescent="0.25">
      <c r="A338">
        <f t="shared" si="5"/>
        <v>337</v>
      </c>
      <c r="C338">
        <v>0</v>
      </c>
      <c r="D338">
        <f>C338+'Excel Support'!$H$29</f>
        <v>7000</v>
      </c>
      <c r="E338">
        <f>C338-'Excel Support'!$H$29</f>
        <v>-7000</v>
      </c>
    </row>
    <row r="339" spans="1:5" x14ac:dyDescent="0.25">
      <c r="A339">
        <f t="shared" si="5"/>
        <v>338</v>
      </c>
      <c r="C339">
        <v>0</v>
      </c>
      <c r="D339">
        <f>C339+'Excel Support'!$H$29</f>
        <v>7000</v>
      </c>
      <c r="E339">
        <f>C339-'Excel Support'!$H$29</f>
        <v>-7000</v>
      </c>
    </row>
    <row r="340" spans="1:5" x14ac:dyDescent="0.25">
      <c r="A340">
        <f t="shared" si="5"/>
        <v>339</v>
      </c>
      <c r="C340">
        <v>0</v>
      </c>
      <c r="D340">
        <f>C340+'Excel Support'!$H$29</f>
        <v>7000</v>
      </c>
      <c r="E340">
        <f>C340-'Excel Support'!$H$29</f>
        <v>-7000</v>
      </c>
    </row>
    <row r="341" spans="1:5" x14ac:dyDescent="0.25">
      <c r="A341">
        <f t="shared" si="5"/>
        <v>340</v>
      </c>
      <c r="C341">
        <v>0</v>
      </c>
      <c r="D341">
        <f>C341+'Excel Support'!$H$29</f>
        <v>7000</v>
      </c>
      <c r="E341">
        <f>C341-'Excel Support'!$H$29</f>
        <v>-7000</v>
      </c>
    </row>
    <row r="342" spans="1:5" x14ac:dyDescent="0.25">
      <c r="A342">
        <f t="shared" si="5"/>
        <v>341</v>
      </c>
      <c r="C342">
        <v>0</v>
      </c>
      <c r="D342">
        <f>C342+'Excel Support'!$H$29</f>
        <v>7000</v>
      </c>
      <c r="E342">
        <f>C342-'Excel Support'!$H$29</f>
        <v>-7000</v>
      </c>
    </row>
    <row r="343" spans="1:5" x14ac:dyDescent="0.25">
      <c r="A343">
        <f t="shared" si="5"/>
        <v>342</v>
      </c>
      <c r="C343">
        <v>0</v>
      </c>
      <c r="D343">
        <f>C343+'Excel Support'!$H$29</f>
        <v>7000</v>
      </c>
      <c r="E343">
        <f>C343-'Excel Support'!$H$29</f>
        <v>-7000</v>
      </c>
    </row>
    <row r="344" spans="1:5" x14ac:dyDescent="0.25">
      <c r="A344">
        <f t="shared" si="5"/>
        <v>343</v>
      </c>
      <c r="C344">
        <v>0</v>
      </c>
      <c r="D344">
        <f>C344+'Excel Support'!$H$29</f>
        <v>7000</v>
      </c>
      <c r="E344">
        <f>C344-'Excel Support'!$H$29</f>
        <v>-7000</v>
      </c>
    </row>
    <row r="345" spans="1:5" x14ac:dyDescent="0.25">
      <c r="A345">
        <f t="shared" si="5"/>
        <v>344</v>
      </c>
      <c r="C345">
        <v>0</v>
      </c>
      <c r="D345">
        <f>C345+'Excel Support'!$H$29</f>
        <v>7000</v>
      </c>
      <c r="E345">
        <f>C345-'Excel Support'!$H$29</f>
        <v>-7000</v>
      </c>
    </row>
    <row r="346" spans="1:5" x14ac:dyDescent="0.25">
      <c r="A346">
        <f t="shared" si="5"/>
        <v>345</v>
      </c>
      <c r="C346">
        <v>0</v>
      </c>
      <c r="D346">
        <f>C346+'Excel Support'!$H$29</f>
        <v>7000</v>
      </c>
      <c r="E346">
        <f>C346-'Excel Support'!$H$29</f>
        <v>-7000</v>
      </c>
    </row>
    <row r="347" spans="1:5" x14ac:dyDescent="0.25">
      <c r="A347">
        <f t="shared" si="5"/>
        <v>346</v>
      </c>
      <c r="C347">
        <v>0</v>
      </c>
      <c r="D347">
        <f>C347+'Excel Support'!$H$29</f>
        <v>7000</v>
      </c>
      <c r="E347">
        <f>C347-'Excel Support'!$H$29</f>
        <v>-7000</v>
      </c>
    </row>
    <row r="348" spans="1:5" x14ac:dyDescent="0.25">
      <c r="A348">
        <f t="shared" si="5"/>
        <v>347</v>
      </c>
      <c r="C348">
        <v>0</v>
      </c>
      <c r="D348">
        <f>C348+'Excel Support'!$H$29</f>
        <v>7000</v>
      </c>
      <c r="E348">
        <f>C348-'Excel Support'!$H$29</f>
        <v>-7000</v>
      </c>
    </row>
    <row r="349" spans="1:5" x14ac:dyDescent="0.25">
      <c r="A349">
        <f t="shared" si="5"/>
        <v>348</v>
      </c>
      <c r="C349">
        <v>0</v>
      </c>
      <c r="D349">
        <f>C349+'Excel Support'!$H$29</f>
        <v>7000</v>
      </c>
      <c r="E349">
        <f>C349-'Excel Support'!$H$29</f>
        <v>-7000</v>
      </c>
    </row>
    <row r="350" spans="1:5" x14ac:dyDescent="0.25">
      <c r="A350">
        <f t="shared" si="5"/>
        <v>349</v>
      </c>
      <c r="C350">
        <v>0</v>
      </c>
      <c r="D350">
        <f>C350+'Excel Support'!$H$29</f>
        <v>7000</v>
      </c>
      <c r="E350">
        <f>C350-'Excel Support'!$H$29</f>
        <v>-7000</v>
      </c>
    </row>
    <row r="351" spans="1:5" x14ac:dyDescent="0.25">
      <c r="A351">
        <f t="shared" si="5"/>
        <v>350</v>
      </c>
      <c r="C351">
        <v>0</v>
      </c>
      <c r="D351">
        <f>C351+'Excel Support'!$H$29</f>
        <v>7000</v>
      </c>
      <c r="E351">
        <f>C351-'Excel Support'!$H$29</f>
        <v>-7000</v>
      </c>
    </row>
    <row r="352" spans="1:5" x14ac:dyDescent="0.25">
      <c r="A352">
        <f t="shared" si="5"/>
        <v>351</v>
      </c>
      <c r="C352">
        <v>0</v>
      </c>
      <c r="D352">
        <f>C352+'Excel Support'!$H$29</f>
        <v>7000</v>
      </c>
      <c r="E352">
        <f>C352-'Excel Support'!$H$29</f>
        <v>-7000</v>
      </c>
    </row>
    <row r="353" spans="1:5" x14ac:dyDescent="0.25">
      <c r="A353">
        <f t="shared" si="5"/>
        <v>352</v>
      </c>
      <c r="C353">
        <v>0</v>
      </c>
      <c r="D353">
        <f>C353+'Excel Support'!$H$29</f>
        <v>7000</v>
      </c>
      <c r="E353">
        <f>C353-'Excel Support'!$H$29</f>
        <v>-7000</v>
      </c>
    </row>
    <row r="354" spans="1:5" x14ac:dyDescent="0.25">
      <c r="A354">
        <f t="shared" si="5"/>
        <v>353</v>
      </c>
      <c r="C354">
        <v>0</v>
      </c>
      <c r="D354">
        <f>C354+'Excel Support'!$H$29</f>
        <v>7000</v>
      </c>
      <c r="E354">
        <f>C354-'Excel Support'!$H$29</f>
        <v>-7000</v>
      </c>
    </row>
    <row r="355" spans="1:5" x14ac:dyDescent="0.25">
      <c r="A355">
        <f t="shared" si="5"/>
        <v>354</v>
      </c>
      <c r="C355">
        <v>0</v>
      </c>
      <c r="D355">
        <f>C355+'Excel Support'!$H$29</f>
        <v>7000</v>
      </c>
      <c r="E355">
        <f>C355-'Excel Support'!$H$29</f>
        <v>-7000</v>
      </c>
    </row>
    <row r="356" spans="1:5" x14ac:dyDescent="0.25">
      <c r="A356">
        <f t="shared" si="5"/>
        <v>355</v>
      </c>
      <c r="C356">
        <v>0</v>
      </c>
      <c r="D356">
        <f>C356+'Excel Support'!$H$29</f>
        <v>7000</v>
      </c>
      <c r="E356">
        <f>C356-'Excel Support'!$H$29</f>
        <v>-7000</v>
      </c>
    </row>
    <row r="357" spans="1:5" x14ac:dyDescent="0.25">
      <c r="A357">
        <f t="shared" si="5"/>
        <v>356</v>
      </c>
      <c r="C357">
        <v>0</v>
      </c>
      <c r="D357">
        <f>C357+'Excel Support'!$H$29</f>
        <v>7000</v>
      </c>
      <c r="E357">
        <f>C357-'Excel Support'!$H$29</f>
        <v>-7000</v>
      </c>
    </row>
    <row r="358" spans="1:5" x14ac:dyDescent="0.25">
      <c r="A358">
        <f t="shared" si="5"/>
        <v>357</v>
      </c>
      <c r="C358">
        <v>0</v>
      </c>
      <c r="D358">
        <f>C358+'Excel Support'!$H$29</f>
        <v>7000</v>
      </c>
      <c r="E358">
        <f>C358-'Excel Support'!$H$29</f>
        <v>-7000</v>
      </c>
    </row>
    <row r="359" spans="1:5" x14ac:dyDescent="0.25">
      <c r="A359">
        <f t="shared" si="5"/>
        <v>358</v>
      </c>
      <c r="C359">
        <v>0</v>
      </c>
      <c r="D359">
        <f>C359+'Excel Support'!$H$29</f>
        <v>7000</v>
      </c>
      <c r="E359">
        <f>C359-'Excel Support'!$H$29</f>
        <v>-7000</v>
      </c>
    </row>
    <row r="360" spans="1:5" x14ac:dyDescent="0.25">
      <c r="A360">
        <f t="shared" si="5"/>
        <v>359</v>
      </c>
      <c r="C360">
        <v>0</v>
      </c>
      <c r="D360">
        <f>C360+'Excel Support'!$H$29</f>
        <v>7000</v>
      </c>
      <c r="E360">
        <f>C360-'Excel Support'!$H$29</f>
        <v>-7000</v>
      </c>
    </row>
    <row r="361" spans="1:5" x14ac:dyDescent="0.25">
      <c r="A361">
        <f t="shared" si="5"/>
        <v>360</v>
      </c>
      <c r="C361">
        <v>0</v>
      </c>
      <c r="D361">
        <f>C361+'Excel Support'!$H$29</f>
        <v>7000</v>
      </c>
      <c r="E361">
        <f>C361-'Excel Support'!$H$29</f>
        <v>-7000</v>
      </c>
    </row>
    <row r="362" spans="1:5" x14ac:dyDescent="0.25">
      <c r="A362">
        <f t="shared" si="5"/>
        <v>361</v>
      </c>
      <c r="C362">
        <v>0</v>
      </c>
      <c r="D362">
        <f>C362+'Excel Support'!$H$29</f>
        <v>7000</v>
      </c>
      <c r="E362">
        <f>C362-'Excel Support'!$H$29</f>
        <v>-7000</v>
      </c>
    </row>
    <row r="363" spans="1:5" x14ac:dyDescent="0.25">
      <c r="A363">
        <f t="shared" si="5"/>
        <v>362</v>
      </c>
      <c r="C363">
        <v>0</v>
      </c>
      <c r="D363">
        <f>C363+'Excel Support'!$H$29</f>
        <v>7000</v>
      </c>
      <c r="E363">
        <f>C363-'Excel Support'!$H$29</f>
        <v>-7000</v>
      </c>
    </row>
    <row r="364" spans="1:5" x14ac:dyDescent="0.25">
      <c r="A364">
        <f t="shared" si="5"/>
        <v>363</v>
      </c>
      <c r="C364">
        <v>0</v>
      </c>
      <c r="D364">
        <f>C364+'Excel Support'!$H$29</f>
        <v>7000</v>
      </c>
      <c r="E364">
        <f>C364-'Excel Support'!$H$29</f>
        <v>-7000</v>
      </c>
    </row>
    <row r="365" spans="1:5" x14ac:dyDescent="0.25">
      <c r="A365">
        <f t="shared" si="5"/>
        <v>364</v>
      </c>
      <c r="C365">
        <v>0</v>
      </c>
      <c r="D365">
        <f>C365+'Excel Support'!$H$29</f>
        <v>7000</v>
      </c>
      <c r="E365">
        <f>C365-'Excel Support'!$H$29</f>
        <v>-7000</v>
      </c>
    </row>
    <row r="366" spans="1:5" x14ac:dyDescent="0.25">
      <c r="A366">
        <f t="shared" si="5"/>
        <v>365</v>
      </c>
      <c r="C366">
        <v>0</v>
      </c>
      <c r="D366">
        <f>C366+'Excel Support'!$H$29</f>
        <v>7000</v>
      </c>
      <c r="E366">
        <f>C366-'Excel Support'!$H$29</f>
        <v>-7000</v>
      </c>
    </row>
    <row r="367" spans="1:5" x14ac:dyDescent="0.25">
      <c r="A367">
        <f t="shared" si="5"/>
        <v>366</v>
      </c>
      <c r="C367">
        <v>0</v>
      </c>
      <c r="D367">
        <f>C367+'Excel Support'!$H$29</f>
        <v>7000</v>
      </c>
      <c r="E367">
        <f>C367-'Excel Support'!$H$29</f>
        <v>-7000</v>
      </c>
    </row>
    <row r="368" spans="1:5" x14ac:dyDescent="0.25">
      <c r="A368">
        <f t="shared" si="5"/>
        <v>367</v>
      </c>
      <c r="C368">
        <v>0</v>
      </c>
      <c r="D368">
        <f>C368+'Excel Support'!$H$29</f>
        <v>7000</v>
      </c>
      <c r="E368">
        <f>C368-'Excel Support'!$H$29</f>
        <v>-7000</v>
      </c>
    </row>
    <row r="369" spans="1:5" x14ac:dyDescent="0.25">
      <c r="A369">
        <f t="shared" si="5"/>
        <v>368</v>
      </c>
      <c r="C369">
        <v>0</v>
      </c>
      <c r="D369">
        <f>C369+'Excel Support'!$H$29</f>
        <v>7000</v>
      </c>
      <c r="E369">
        <f>C369-'Excel Support'!$H$29</f>
        <v>-7000</v>
      </c>
    </row>
    <row r="370" spans="1:5" x14ac:dyDescent="0.25">
      <c r="A370">
        <f t="shared" si="5"/>
        <v>369</v>
      </c>
      <c r="C370">
        <v>0</v>
      </c>
      <c r="D370">
        <f>C370+'Excel Support'!$H$29</f>
        <v>7000</v>
      </c>
      <c r="E370">
        <f>C370-'Excel Support'!$H$29</f>
        <v>-7000</v>
      </c>
    </row>
    <row r="371" spans="1:5" x14ac:dyDescent="0.25">
      <c r="A371">
        <f t="shared" si="5"/>
        <v>370</v>
      </c>
      <c r="C371">
        <v>0</v>
      </c>
      <c r="D371">
        <f>C371+'Excel Support'!$H$29</f>
        <v>7000</v>
      </c>
      <c r="E371">
        <f>C371-'Excel Support'!$H$29</f>
        <v>-7000</v>
      </c>
    </row>
    <row r="372" spans="1:5" x14ac:dyDescent="0.25">
      <c r="A372">
        <f t="shared" si="5"/>
        <v>371</v>
      </c>
      <c r="C372">
        <v>0</v>
      </c>
      <c r="D372">
        <f>C372+'Excel Support'!$H$29</f>
        <v>7000</v>
      </c>
      <c r="E372">
        <f>C372-'Excel Support'!$H$29</f>
        <v>-7000</v>
      </c>
    </row>
    <row r="373" spans="1:5" x14ac:dyDescent="0.25">
      <c r="A373">
        <f t="shared" si="5"/>
        <v>372</v>
      </c>
      <c r="C373">
        <v>0</v>
      </c>
      <c r="D373">
        <f>C373+'Excel Support'!$H$29</f>
        <v>7000</v>
      </c>
      <c r="E373">
        <f>C373-'Excel Support'!$H$29</f>
        <v>-7000</v>
      </c>
    </row>
    <row r="374" spans="1:5" x14ac:dyDescent="0.25">
      <c r="A374">
        <f t="shared" si="5"/>
        <v>373</v>
      </c>
      <c r="C374">
        <v>0</v>
      </c>
      <c r="D374">
        <f>C374+'Excel Support'!$H$29</f>
        <v>7000</v>
      </c>
      <c r="E374">
        <f>C374-'Excel Support'!$H$29</f>
        <v>-7000</v>
      </c>
    </row>
    <row r="375" spans="1:5" x14ac:dyDescent="0.25">
      <c r="A375">
        <f t="shared" si="5"/>
        <v>374</v>
      </c>
      <c r="C375">
        <v>0</v>
      </c>
      <c r="D375">
        <f>C375+'Excel Support'!$H$29</f>
        <v>7000</v>
      </c>
      <c r="E375">
        <f>C375-'Excel Support'!$H$29</f>
        <v>-7000</v>
      </c>
    </row>
    <row r="376" spans="1:5" x14ac:dyDescent="0.25">
      <c r="A376">
        <f t="shared" si="5"/>
        <v>375</v>
      </c>
      <c r="C376">
        <v>0</v>
      </c>
      <c r="D376">
        <f>C376+'Excel Support'!$H$29</f>
        <v>7000</v>
      </c>
      <c r="E376">
        <f>C376-'Excel Support'!$H$29</f>
        <v>-7000</v>
      </c>
    </row>
    <row r="377" spans="1:5" x14ac:dyDescent="0.25">
      <c r="A377">
        <f t="shared" si="5"/>
        <v>376</v>
      </c>
      <c r="C377">
        <v>0</v>
      </c>
      <c r="D377">
        <f>C377+'Excel Support'!$H$29</f>
        <v>7000</v>
      </c>
      <c r="E377">
        <f>C377-'Excel Support'!$H$29</f>
        <v>-7000</v>
      </c>
    </row>
    <row r="378" spans="1:5" x14ac:dyDescent="0.25">
      <c r="A378">
        <f t="shared" si="5"/>
        <v>377</v>
      </c>
      <c r="C378">
        <v>0</v>
      </c>
      <c r="D378">
        <f>C378+'Excel Support'!$H$29</f>
        <v>7000</v>
      </c>
      <c r="E378">
        <f>C378-'Excel Support'!$H$29</f>
        <v>-7000</v>
      </c>
    </row>
    <row r="379" spans="1:5" x14ac:dyDescent="0.25">
      <c r="A379">
        <f t="shared" si="5"/>
        <v>378</v>
      </c>
      <c r="C379">
        <v>0</v>
      </c>
      <c r="D379">
        <f>C379+'Excel Support'!$H$29</f>
        <v>7000</v>
      </c>
      <c r="E379">
        <f>C379-'Excel Support'!$H$29</f>
        <v>-7000</v>
      </c>
    </row>
    <row r="380" spans="1:5" x14ac:dyDescent="0.25">
      <c r="A380">
        <f t="shared" si="5"/>
        <v>379</v>
      </c>
      <c r="C380">
        <v>0</v>
      </c>
      <c r="D380">
        <f>C380+'Excel Support'!$H$29</f>
        <v>7000</v>
      </c>
      <c r="E380">
        <f>C380-'Excel Support'!$H$29</f>
        <v>-7000</v>
      </c>
    </row>
    <row r="381" spans="1:5" x14ac:dyDescent="0.25">
      <c r="A381">
        <f t="shared" si="5"/>
        <v>380</v>
      </c>
      <c r="C381">
        <v>0</v>
      </c>
      <c r="D381">
        <f>C381+'Excel Support'!$H$29</f>
        <v>7000</v>
      </c>
      <c r="E381">
        <f>C381-'Excel Support'!$H$29</f>
        <v>-7000</v>
      </c>
    </row>
    <row r="382" spans="1:5" x14ac:dyDescent="0.25">
      <c r="A382">
        <f t="shared" si="5"/>
        <v>381</v>
      </c>
      <c r="C382">
        <v>0</v>
      </c>
      <c r="D382">
        <f>C382+'Excel Support'!$H$29</f>
        <v>7000</v>
      </c>
      <c r="E382">
        <f>C382-'Excel Support'!$H$29</f>
        <v>-7000</v>
      </c>
    </row>
    <row r="383" spans="1:5" x14ac:dyDescent="0.25">
      <c r="A383">
        <f t="shared" si="5"/>
        <v>382</v>
      </c>
      <c r="C383">
        <v>0</v>
      </c>
      <c r="D383">
        <f>C383+'Excel Support'!$H$29</f>
        <v>7000</v>
      </c>
      <c r="E383">
        <f>C383-'Excel Support'!$H$29</f>
        <v>-7000</v>
      </c>
    </row>
    <row r="384" spans="1:5" x14ac:dyDescent="0.25">
      <c r="A384">
        <f t="shared" si="5"/>
        <v>383</v>
      </c>
      <c r="C384">
        <v>0</v>
      </c>
      <c r="D384">
        <f>C384+'Excel Support'!$H$29</f>
        <v>7000</v>
      </c>
      <c r="E384">
        <f>C384-'Excel Support'!$H$29</f>
        <v>-7000</v>
      </c>
    </row>
    <row r="385" spans="1:5" x14ac:dyDescent="0.25">
      <c r="A385">
        <f t="shared" si="5"/>
        <v>384</v>
      </c>
      <c r="C385">
        <v>0</v>
      </c>
      <c r="D385">
        <f>C385+'Excel Support'!$H$29</f>
        <v>7000</v>
      </c>
      <c r="E385">
        <f>C385-'Excel Support'!$H$29</f>
        <v>-7000</v>
      </c>
    </row>
    <row r="386" spans="1:5" x14ac:dyDescent="0.25">
      <c r="A386">
        <f t="shared" si="5"/>
        <v>385</v>
      </c>
      <c r="C386">
        <v>0</v>
      </c>
      <c r="D386">
        <f>C386+'Excel Support'!$H$29</f>
        <v>7000</v>
      </c>
      <c r="E386">
        <f>C386-'Excel Support'!$H$29</f>
        <v>-7000</v>
      </c>
    </row>
    <row r="387" spans="1:5" x14ac:dyDescent="0.25">
      <c r="A387">
        <f t="shared" ref="A387:A450" si="6">A386+1</f>
        <v>386</v>
      </c>
      <c r="C387">
        <v>0</v>
      </c>
      <c r="D387">
        <f>C387+'Excel Support'!$H$29</f>
        <v>7000</v>
      </c>
      <c r="E387">
        <f>C387-'Excel Support'!$H$29</f>
        <v>-7000</v>
      </c>
    </row>
    <row r="388" spans="1:5" x14ac:dyDescent="0.25">
      <c r="A388">
        <f t="shared" si="6"/>
        <v>387</v>
      </c>
      <c r="C388">
        <v>0</v>
      </c>
      <c r="D388">
        <f>C388+'Excel Support'!$H$29</f>
        <v>7000</v>
      </c>
      <c r="E388">
        <f>C388-'Excel Support'!$H$29</f>
        <v>-7000</v>
      </c>
    </row>
    <row r="389" spans="1:5" x14ac:dyDescent="0.25">
      <c r="A389">
        <f t="shared" si="6"/>
        <v>388</v>
      </c>
      <c r="C389">
        <v>0</v>
      </c>
      <c r="D389">
        <f>C389+'Excel Support'!$H$29</f>
        <v>7000</v>
      </c>
      <c r="E389">
        <f>C389-'Excel Support'!$H$29</f>
        <v>-7000</v>
      </c>
    </row>
    <row r="390" spans="1:5" x14ac:dyDescent="0.25">
      <c r="A390">
        <f t="shared" si="6"/>
        <v>389</v>
      </c>
      <c r="C390">
        <v>0</v>
      </c>
      <c r="D390">
        <f>C390+'Excel Support'!$H$29</f>
        <v>7000</v>
      </c>
      <c r="E390">
        <f>C390-'Excel Support'!$H$29</f>
        <v>-7000</v>
      </c>
    </row>
    <row r="391" spans="1:5" x14ac:dyDescent="0.25">
      <c r="A391">
        <f t="shared" si="6"/>
        <v>390</v>
      </c>
      <c r="C391">
        <v>0</v>
      </c>
      <c r="D391">
        <f>C391+'Excel Support'!$H$29</f>
        <v>7000</v>
      </c>
      <c r="E391">
        <f>C391-'Excel Support'!$H$29</f>
        <v>-7000</v>
      </c>
    </row>
    <row r="392" spans="1:5" x14ac:dyDescent="0.25">
      <c r="A392">
        <f t="shared" si="6"/>
        <v>391</v>
      </c>
      <c r="C392">
        <v>0</v>
      </c>
      <c r="D392">
        <f>C392+'Excel Support'!$H$29</f>
        <v>7000</v>
      </c>
      <c r="E392">
        <f>C392-'Excel Support'!$H$29</f>
        <v>-7000</v>
      </c>
    </row>
    <row r="393" spans="1:5" x14ac:dyDescent="0.25">
      <c r="A393">
        <f t="shared" si="6"/>
        <v>392</v>
      </c>
      <c r="C393">
        <v>0</v>
      </c>
      <c r="D393">
        <f>C393+'Excel Support'!$H$29</f>
        <v>7000</v>
      </c>
      <c r="E393">
        <f>C393-'Excel Support'!$H$29</f>
        <v>-7000</v>
      </c>
    </row>
    <row r="394" spans="1:5" x14ac:dyDescent="0.25">
      <c r="A394">
        <f t="shared" si="6"/>
        <v>393</v>
      </c>
      <c r="C394">
        <v>0</v>
      </c>
      <c r="D394">
        <f>C394+'Excel Support'!$H$29</f>
        <v>7000</v>
      </c>
      <c r="E394">
        <f>C394-'Excel Support'!$H$29</f>
        <v>-7000</v>
      </c>
    </row>
    <row r="395" spans="1:5" x14ac:dyDescent="0.25">
      <c r="A395">
        <f t="shared" si="6"/>
        <v>394</v>
      </c>
      <c r="C395">
        <v>0</v>
      </c>
      <c r="D395">
        <f>C395+'Excel Support'!$H$29</f>
        <v>7000</v>
      </c>
      <c r="E395">
        <f>C395-'Excel Support'!$H$29</f>
        <v>-7000</v>
      </c>
    </row>
    <row r="396" spans="1:5" x14ac:dyDescent="0.25">
      <c r="A396">
        <f t="shared" si="6"/>
        <v>395</v>
      </c>
      <c r="C396">
        <v>0</v>
      </c>
      <c r="D396">
        <f>C396+'Excel Support'!$H$29</f>
        <v>7000</v>
      </c>
      <c r="E396">
        <f>C396-'Excel Support'!$H$29</f>
        <v>-7000</v>
      </c>
    </row>
    <row r="397" spans="1:5" x14ac:dyDescent="0.25">
      <c r="A397">
        <f t="shared" si="6"/>
        <v>396</v>
      </c>
      <c r="C397">
        <v>0</v>
      </c>
      <c r="D397">
        <f>C397+'Excel Support'!$H$29</f>
        <v>7000</v>
      </c>
      <c r="E397">
        <f>C397-'Excel Support'!$H$29</f>
        <v>-7000</v>
      </c>
    </row>
    <row r="398" spans="1:5" x14ac:dyDescent="0.25">
      <c r="A398">
        <f t="shared" si="6"/>
        <v>397</v>
      </c>
      <c r="C398">
        <v>0</v>
      </c>
      <c r="D398">
        <f>C398+'Excel Support'!$H$29</f>
        <v>7000</v>
      </c>
      <c r="E398">
        <f>C398-'Excel Support'!$H$29</f>
        <v>-7000</v>
      </c>
    </row>
    <row r="399" spans="1:5" x14ac:dyDescent="0.25">
      <c r="A399">
        <f t="shared" si="6"/>
        <v>398</v>
      </c>
      <c r="C399">
        <v>0</v>
      </c>
      <c r="D399">
        <f>C399+'Excel Support'!$H$29</f>
        <v>7000</v>
      </c>
      <c r="E399">
        <f>C399-'Excel Support'!$H$29</f>
        <v>-7000</v>
      </c>
    </row>
    <row r="400" spans="1:5" x14ac:dyDescent="0.25">
      <c r="A400">
        <f t="shared" si="6"/>
        <v>399</v>
      </c>
      <c r="C400">
        <v>0</v>
      </c>
      <c r="D400">
        <f>C400+'Excel Support'!$H$29</f>
        <v>7000</v>
      </c>
      <c r="E400">
        <f>C400-'Excel Support'!$H$29</f>
        <v>-7000</v>
      </c>
    </row>
    <row r="401" spans="1:5" x14ac:dyDescent="0.25">
      <c r="A401">
        <f t="shared" si="6"/>
        <v>400</v>
      </c>
      <c r="C401">
        <v>0</v>
      </c>
      <c r="D401">
        <f>C401+'Excel Support'!$H$29</f>
        <v>7000</v>
      </c>
      <c r="E401">
        <f>C401-'Excel Support'!$H$29</f>
        <v>-7000</v>
      </c>
    </row>
    <row r="402" spans="1:5" x14ac:dyDescent="0.25">
      <c r="A402">
        <f t="shared" si="6"/>
        <v>401</v>
      </c>
      <c r="C402">
        <v>0</v>
      </c>
      <c r="D402">
        <f>C402+'Excel Support'!$H$29</f>
        <v>7000</v>
      </c>
      <c r="E402">
        <f>C402-'Excel Support'!$H$29</f>
        <v>-7000</v>
      </c>
    </row>
    <row r="403" spans="1:5" x14ac:dyDescent="0.25">
      <c r="A403">
        <f t="shared" si="6"/>
        <v>402</v>
      </c>
      <c r="C403">
        <v>0</v>
      </c>
      <c r="D403">
        <f>C403+'Excel Support'!$H$29</f>
        <v>7000</v>
      </c>
      <c r="E403">
        <f>C403-'Excel Support'!$H$29</f>
        <v>-7000</v>
      </c>
    </row>
    <row r="404" spans="1:5" x14ac:dyDescent="0.25">
      <c r="A404">
        <f t="shared" si="6"/>
        <v>403</v>
      </c>
      <c r="C404">
        <v>0</v>
      </c>
      <c r="D404">
        <f>C404+'Excel Support'!$H$29</f>
        <v>7000</v>
      </c>
      <c r="E404">
        <f>C404-'Excel Support'!$H$29</f>
        <v>-7000</v>
      </c>
    </row>
    <row r="405" spans="1:5" x14ac:dyDescent="0.25">
      <c r="A405">
        <f t="shared" si="6"/>
        <v>404</v>
      </c>
      <c r="C405">
        <v>0</v>
      </c>
      <c r="D405">
        <f>C405+'Excel Support'!$H$29</f>
        <v>7000</v>
      </c>
      <c r="E405">
        <f>C405-'Excel Support'!$H$29</f>
        <v>-7000</v>
      </c>
    </row>
    <row r="406" spans="1:5" x14ac:dyDescent="0.25">
      <c r="A406">
        <f t="shared" si="6"/>
        <v>405</v>
      </c>
      <c r="C406">
        <v>0</v>
      </c>
      <c r="D406">
        <f>C406+'Excel Support'!$H$29</f>
        <v>7000</v>
      </c>
      <c r="E406">
        <f>C406-'Excel Support'!$H$29</f>
        <v>-7000</v>
      </c>
    </row>
    <row r="407" spans="1:5" x14ac:dyDescent="0.25">
      <c r="A407">
        <f t="shared" si="6"/>
        <v>406</v>
      </c>
      <c r="C407">
        <v>0</v>
      </c>
      <c r="D407">
        <f>C407+'Excel Support'!$H$29</f>
        <v>7000</v>
      </c>
      <c r="E407">
        <f>C407-'Excel Support'!$H$29</f>
        <v>-7000</v>
      </c>
    </row>
    <row r="408" spans="1:5" x14ac:dyDescent="0.25">
      <c r="A408">
        <f t="shared" si="6"/>
        <v>407</v>
      </c>
      <c r="C408">
        <v>0</v>
      </c>
      <c r="D408">
        <f>C408+'Excel Support'!$H$29</f>
        <v>7000</v>
      </c>
      <c r="E408">
        <f>C408-'Excel Support'!$H$29</f>
        <v>-7000</v>
      </c>
    </row>
    <row r="409" spans="1:5" x14ac:dyDescent="0.25">
      <c r="A409">
        <f t="shared" si="6"/>
        <v>408</v>
      </c>
      <c r="C409">
        <v>0</v>
      </c>
      <c r="D409">
        <f>C409+'Excel Support'!$H$29</f>
        <v>7000</v>
      </c>
      <c r="E409">
        <f>C409-'Excel Support'!$H$29</f>
        <v>-7000</v>
      </c>
    </row>
    <row r="410" spans="1:5" x14ac:dyDescent="0.25">
      <c r="A410">
        <f t="shared" si="6"/>
        <v>409</v>
      </c>
      <c r="C410">
        <v>0</v>
      </c>
      <c r="D410">
        <f>C410+'Excel Support'!$H$29</f>
        <v>7000</v>
      </c>
      <c r="E410">
        <f>C410-'Excel Support'!$H$29</f>
        <v>-7000</v>
      </c>
    </row>
    <row r="411" spans="1:5" x14ac:dyDescent="0.25">
      <c r="A411">
        <f t="shared" si="6"/>
        <v>410</v>
      </c>
      <c r="C411">
        <v>0</v>
      </c>
      <c r="D411">
        <f>C411+'Excel Support'!$H$29</f>
        <v>7000</v>
      </c>
      <c r="E411">
        <f>C411-'Excel Support'!$H$29</f>
        <v>-7000</v>
      </c>
    </row>
    <row r="412" spans="1:5" x14ac:dyDescent="0.25">
      <c r="A412">
        <f t="shared" si="6"/>
        <v>411</v>
      </c>
      <c r="C412">
        <v>0</v>
      </c>
      <c r="D412">
        <f>C412+'Excel Support'!$H$29</f>
        <v>7000</v>
      </c>
      <c r="E412">
        <f>C412-'Excel Support'!$H$29</f>
        <v>-7000</v>
      </c>
    </row>
    <row r="413" spans="1:5" x14ac:dyDescent="0.25">
      <c r="A413">
        <f t="shared" si="6"/>
        <v>412</v>
      </c>
      <c r="C413">
        <v>0</v>
      </c>
      <c r="D413">
        <f>C413+'Excel Support'!$H$29</f>
        <v>7000</v>
      </c>
      <c r="E413">
        <f>C413-'Excel Support'!$H$29</f>
        <v>-7000</v>
      </c>
    </row>
    <row r="414" spans="1:5" x14ac:dyDescent="0.25">
      <c r="A414">
        <f t="shared" si="6"/>
        <v>413</v>
      </c>
      <c r="C414">
        <v>0</v>
      </c>
      <c r="D414">
        <f>C414+'Excel Support'!$H$29</f>
        <v>7000</v>
      </c>
      <c r="E414">
        <f>C414-'Excel Support'!$H$29</f>
        <v>-7000</v>
      </c>
    </row>
    <row r="415" spans="1:5" x14ac:dyDescent="0.25">
      <c r="A415">
        <f t="shared" si="6"/>
        <v>414</v>
      </c>
      <c r="C415">
        <v>0</v>
      </c>
      <c r="D415">
        <f>C415+'Excel Support'!$H$29</f>
        <v>7000</v>
      </c>
      <c r="E415">
        <f>C415-'Excel Support'!$H$29</f>
        <v>-7000</v>
      </c>
    </row>
    <row r="416" spans="1:5" x14ac:dyDescent="0.25">
      <c r="A416">
        <f t="shared" si="6"/>
        <v>415</v>
      </c>
      <c r="C416">
        <v>0</v>
      </c>
      <c r="D416">
        <f>C416+'Excel Support'!$H$29</f>
        <v>7000</v>
      </c>
      <c r="E416">
        <f>C416-'Excel Support'!$H$29</f>
        <v>-7000</v>
      </c>
    </row>
    <row r="417" spans="1:5" x14ac:dyDescent="0.25">
      <c r="A417">
        <f t="shared" si="6"/>
        <v>416</v>
      </c>
      <c r="C417">
        <v>0</v>
      </c>
      <c r="D417">
        <f>C417+'Excel Support'!$H$29</f>
        <v>7000</v>
      </c>
      <c r="E417">
        <f>C417-'Excel Support'!$H$29</f>
        <v>-7000</v>
      </c>
    </row>
    <row r="418" spans="1:5" x14ac:dyDescent="0.25">
      <c r="A418">
        <f t="shared" si="6"/>
        <v>417</v>
      </c>
      <c r="C418">
        <v>0</v>
      </c>
      <c r="D418">
        <f>C418+'Excel Support'!$H$29</f>
        <v>7000</v>
      </c>
      <c r="E418">
        <f>C418-'Excel Support'!$H$29</f>
        <v>-7000</v>
      </c>
    </row>
    <row r="419" spans="1:5" x14ac:dyDescent="0.25">
      <c r="A419">
        <f t="shared" si="6"/>
        <v>418</v>
      </c>
      <c r="C419">
        <v>0</v>
      </c>
      <c r="D419">
        <f>C419+'Excel Support'!$H$29</f>
        <v>7000</v>
      </c>
      <c r="E419">
        <f>C419-'Excel Support'!$H$29</f>
        <v>-7000</v>
      </c>
    </row>
    <row r="420" spans="1:5" x14ac:dyDescent="0.25">
      <c r="A420">
        <f t="shared" si="6"/>
        <v>419</v>
      </c>
      <c r="C420">
        <v>0</v>
      </c>
      <c r="D420">
        <f>C420+'Excel Support'!$H$29</f>
        <v>7000</v>
      </c>
      <c r="E420">
        <f>C420-'Excel Support'!$H$29</f>
        <v>-7000</v>
      </c>
    </row>
    <row r="421" spans="1:5" x14ac:dyDescent="0.25">
      <c r="A421">
        <f t="shared" si="6"/>
        <v>420</v>
      </c>
      <c r="C421">
        <v>0</v>
      </c>
      <c r="D421">
        <f>C421+'Excel Support'!$H$29</f>
        <v>7000</v>
      </c>
      <c r="E421">
        <f>C421-'Excel Support'!$H$29</f>
        <v>-7000</v>
      </c>
    </row>
    <row r="422" spans="1:5" x14ac:dyDescent="0.25">
      <c r="A422">
        <f t="shared" si="6"/>
        <v>421</v>
      </c>
      <c r="C422">
        <v>0</v>
      </c>
      <c r="D422">
        <f>C422+'Excel Support'!$H$29</f>
        <v>7000</v>
      </c>
      <c r="E422">
        <f>C422-'Excel Support'!$H$29</f>
        <v>-7000</v>
      </c>
    </row>
    <row r="423" spans="1:5" x14ac:dyDescent="0.25">
      <c r="A423">
        <f t="shared" si="6"/>
        <v>422</v>
      </c>
      <c r="C423">
        <v>0</v>
      </c>
      <c r="D423">
        <f>C423+'Excel Support'!$H$29</f>
        <v>7000</v>
      </c>
      <c r="E423">
        <f>C423-'Excel Support'!$H$29</f>
        <v>-7000</v>
      </c>
    </row>
    <row r="424" spans="1:5" x14ac:dyDescent="0.25">
      <c r="A424">
        <f t="shared" si="6"/>
        <v>423</v>
      </c>
      <c r="C424">
        <v>0</v>
      </c>
      <c r="D424">
        <f>C424+'Excel Support'!$H$29</f>
        <v>7000</v>
      </c>
      <c r="E424">
        <f>C424-'Excel Support'!$H$29</f>
        <v>-7000</v>
      </c>
    </row>
    <row r="425" spans="1:5" x14ac:dyDescent="0.25">
      <c r="A425">
        <f t="shared" si="6"/>
        <v>424</v>
      </c>
      <c r="C425">
        <v>0</v>
      </c>
      <c r="D425">
        <f>C425+'Excel Support'!$H$29</f>
        <v>7000</v>
      </c>
      <c r="E425">
        <f>C425-'Excel Support'!$H$29</f>
        <v>-7000</v>
      </c>
    </row>
    <row r="426" spans="1:5" x14ac:dyDescent="0.25">
      <c r="A426">
        <f t="shared" si="6"/>
        <v>425</v>
      </c>
      <c r="C426">
        <v>0</v>
      </c>
      <c r="D426">
        <f>C426+'Excel Support'!$H$29</f>
        <v>7000</v>
      </c>
      <c r="E426">
        <f>C426-'Excel Support'!$H$29</f>
        <v>-7000</v>
      </c>
    </row>
    <row r="427" spans="1:5" x14ac:dyDescent="0.25">
      <c r="A427">
        <f t="shared" si="6"/>
        <v>426</v>
      </c>
      <c r="C427">
        <v>0</v>
      </c>
      <c r="D427">
        <f>C427+'Excel Support'!$H$29</f>
        <v>7000</v>
      </c>
      <c r="E427">
        <f>C427-'Excel Support'!$H$29</f>
        <v>-7000</v>
      </c>
    </row>
    <row r="428" spans="1:5" x14ac:dyDescent="0.25">
      <c r="A428">
        <f t="shared" si="6"/>
        <v>427</v>
      </c>
      <c r="C428">
        <v>0</v>
      </c>
      <c r="D428">
        <f>C428+'Excel Support'!$H$29</f>
        <v>7000</v>
      </c>
      <c r="E428">
        <f>C428-'Excel Support'!$H$29</f>
        <v>-7000</v>
      </c>
    </row>
    <row r="429" spans="1:5" x14ac:dyDescent="0.25">
      <c r="A429">
        <f t="shared" si="6"/>
        <v>428</v>
      </c>
      <c r="C429">
        <v>0</v>
      </c>
      <c r="D429">
        <f>C429+'Excel Support'!$H$29</f>
        <v>7000</v>
      </c>
      <c r="E429">
        <f>C429-'Excel Support'!$H$29</f>
        <v>-7000</v>
      </c>
    </row>
    <row r="430" spans="1:5" x14ac:dyDescent="0.25">
      <c r="A430">
        <f t="shared" si="6"/>
        <v>429</v>
      </c>
      <c r="C430">
        <v>0</v>
      </c>
      <c r="D430">
        <f>C430+'Excel Support'!$H$29</f>
        <v>7000</v>
      </c>
      <c r="E430">
        <f>C430-'Excel Support'!$H$29</f>
        <v>-7000</v>
      </c>
    </row>
    <row r="431" spans="1:5" x14ac:dyDescent="0.25">
      <c r="A431">
        <f t="shared" si="6"/>
        <v>430</v>
      </c>
      <c r="C431">
        <v>0</v>
      </c>
      <c r="D431">
        <f>C431+'Excel Support'!$H$29</f>
        <v>7000</v>
      </c>
      <c r="E431">
        <f>C431-'Excel Support'!$H$29</f>
        <v>-7000</v>
      </c>
    </row>
    <row r="432" spans="1:5" x14ac:dyDescent="0.25">
      <c r="A432">
        <f t="shared" si="6"/>
        <v>431</v>
      </c>
      <c r="C432">
        <v>0</v>
      </c>
      <c r="D432">
        <f>C432+'Excel Support'!$H$29</f>
        <v>7000</v>
      </c>
      <c r="E432">
        <f>C432-'Excel Support'!$H$29</f>
        <v>-7000</v>
      </c>
    </row>
    <row r="433" spans="1:5" x14ac:dyDescent="0.25">
      <c r="A433">
        <f t="shared" si="6"/>
        <v>432</v>
      </c>
      <c r="C433">
        <v>0</v>
      </c>
      <c r="D433">
        <f>C433+'Excel Support'!$H$29</f>
        <v>7000</v>
      </c>
      <c r="E433">
        <f>C433-'Excel Support'!$H$29</f>
        <v>-7000</v>
      </c>
    </row>
    <row r="434" spans="1:5" x14ac:dyDescent="0.25">
      <c r="A434">
        <f t="shared" si="6"/>
        <v>433</v>
      </c>
      <c r="C434">
        <v>0</v>
      </c>
      <c r="D434">
        <f>C434+'Excel Support'!$H$29</f>
        <v>7000</v>
      </c>
      <c r="E434">
        <f>C434-'Excel Support'!$H$29</f>
        <v>-7000</v>
      </c>
    </row>
    <row r="435" spans="1:5" x14ac:dyDescent="0.25">
      <c r="A435">
        <f t="shared" si="6"/>
        <v>434</v>
      </c>
      <c r="C435">
        <v>0</v>
      </c>
      <c r="D435">
        <f>C435+'Excel Support'!$H$29</f>
        <v>7000</v>
      </c>
      <c r="E435">
        <f>C435-'Excel Support'!$H$29</f>
        <v>-7000</v>
      </c>
    </row>
    <row r="436" spans="1:5" x14ac:dyDescent="0.25">
      <c r="A436">
        <f t="shared" si="6"/>
        <v>435</v>
      </c>
      <c r="C436">
        <v>0</v>
      </c>
      <c r="D436">
        <f>C436+'Excel Support'!$H$29</f>
        <v>7000</v>
      </c>
      <c r="E436">
        <f>C436-'Excel Support'!$H$29</f>
        <v>-7000</v>
      </c>
    </row>
    <row r="437" spans="1:5" x14ac:dyDescent="0.25">
      <c r="A437">
        <f t="shared" si="6"/>
        <v>436</v>
      </c>
      <c r="C437">
        <v>0</v>
      </c>
      <c r="D437">
        <f>C437+'Excel Support'!$H$29</f>
        <v>7000</v>
      </c>
      <c r="E437">
        <f>C437-'Excel Support'!$H$29</f>
        <v>-7000</v>
      </c>
    </row>
    <row r="438" spans="1:5" x14ac:dyDescent="0.25">
      <c r="A438">
        <f t="shared" si="6"/>
        <v>437</v>
      </c>
      <c r="C438">
        <v>0</v>
      </c>
      <c r="D438">
        <f>C438+'Excel Support'!$H$29</f>
        <v>7000</v>
      </c>
      <c r="E438">
        <f>C438-'Excel Support'!$H$29</f>
        <v>-7000</v>
      </c>
    </row>
    <row r="439" spans="1:5" x14ac:dyDescent="0.25">
      <c r="A439">
        <f t="shared" si="6"/>
        <v>438</v>
      </c>
      <c r="C439">
        <v>0</v>
      </c>
      <c r="D439">
        <f>C439+'Excel Support'!$H$29</f>
        <v>7000</v>
      </c>
      <c r="E439">
        <f>C439-'Excel Support'!$H$29</f>
        <v>-7000</v>
      </c>
    </row>
    <row r="440" spans="1:5" x14ac:dyDescent="0.25">
      <c r="A440">
        <f t="shared" si="6"/>
        <v>439</v>
      </c>
      <c r="C440">
        <v>0</v>
      </c>
      <c r="D440">
        <f>C440+'Excel Support'!$H$29</f>
        <v>7000</v>
      </c>
      <c r="E440">
        <f>C440-'Excel Support'!$H$29</f>
        <v>-7000</v>
      </c>
    </row>
    <row r="441" spans="1:5" x14ac:dyDescent="0.25">
      <c r="A441">
        <f t="shared" si="6"/>
        <v>440</v>
      </c>
      <c r="C441">
        <v>0</v>
      </c>
      <c r="D441">
        <f>C441+'Excel Support'!$H$29</f>
        <v>7000</v>
      </c>
      <c r="E441">
        <f>C441-'Excel Support'!$H$29</f>
        <v>-7000</v>
      </c>
    </row>
    <row r="442" spans="1:5" x14ac:dyDescent="0.25">
      <c r="A442">
        <f t="shared" si="6"/>
        <v>441</v>
      </c>
      <c r="C442">
        <v>0</v>
      </c>
      <c r="D442">
        <f>C442+'Excel Support'!$H$29</f>
        <v>7000</v>
      </c>
      <c r="E442">
        <f>C442-'Excel Support'!$H$29</f>
        <v>-7000</v>
      </c>
    </row>
    <row r="443" spans="1:5" x14ac:dyDescent="0.25">
      <c r="A443">
        <f t="shared" si="6"/>
        <v>442</v>
      </c>
      <c r="C443">
        <v>0</v>
      </c>
      <c r="D443">
        <f>C443+'Excel Support'!$H$29</f>
        <v>7000</v>
      </c>
      <c r="E443">
        <f>C443-'Excel Support'!$H$29</f>
        <v>-7000</v>
      </c>
    </row>
    <row r="444" spans="1:5" x14ac:dyDescent="0.25">
      <c r="A444">
        <f t="shared" si="6"/>
        <v>443</v>
      </c>
      <c r="C444">
        <v>0</v>
      </c>
      <c r="D444">
        <f>C444+'Excel Support'!$H$29</f>
        <v>7000</v>
      </c>
      <c r="E444">
        <f>C444-'Excel Support'!$H$29</f>
        <v>-7000</v>
      </c>
    </row>
    <row r="445" spans="1:5" x14ac:dyDescent="0.25">
      <c r="A445">
        <f t="shared" si="6"/>
        <v>444</v>
      </c>
      <c r="C445">
        <v>0</v>
      </c>
      <c r="D445">
        <f>C445+'Excel Support'!$H$29</f>
        <v>7000</v>
      </c>
      <c r="E445">
        <f>C445-'Excel Support'!$H$29</f>
        <v>-7000</v>
      </c>
    </row>
    <row r="446" spans="1:5" x14ac:dyDescent="0.25">
      <c r="A446">
        <f t="shared" si="6"/>
        <v>445</v>
      </c>
      <c r="C446">
        <v>0</v>
      </c>
      <c r="D446">
        <f>C446+'Excel Support'!$H$29</f>
        <v>7000</v>
      </c>
      <c r="E446">
        <f>C446-'Excel Support'!$H$29</f>
        <v>-7000</v>
      </c>
    </row>
    <row r="447" spans="1:5" x14ac:dyDescent="0.25">
      <c r="A447">
        <f t="shared" si="6"/>
        <v>446</v>
      </c>
      <c r="C447">
        <v>0</v>
      </c>
      <c r="D447">
        <f>C447+'Excel Support'!$H$29</f>
        <v>7000</v>
      </c>
      <c r="E447">
        <f>C447-'Excel Support'!$H$29</f>
        <v>-7000</v>
      </c>
    </row>
    <row r="448" spans="1:5" x14ac:dyDescent="0.25">
      <c r="A448">
        <f t="shared" si="6"/>
        <v>447</v>
      </c>
      <c r="C448">
        <v>0</v>
      </c>
      <c r="D448">
        <f>C448+'Excel Support'!$H$29</f>
        <v>7000</v>
      </c>
      <c r="E448">
        <f>C448-'Excel Support'!$H$29</f>
        <v>-7000</v>
      </c>
    </row>
    <row r="449" spans="1:5" x14ac:dyDescent="0.25">
      <c r="A449">
        <f t="shared" si="6"/>
        <v>448</v>
      </c>
      <c r="C449">
        <v>0</v>
      </c>
      <c r="D449">
        <f>C449+'Excel Support'!$H$29</f>
        <v>7000</v>
      </c>
      <c r="E449">
        <f>C449-'Excel Support'!$H$29</f>
        <v>-7000</v>
      </c>
    </row>
    <row r="450" spans="1:5" x14ac:dyDescent="0.25">
      <c r="A450">
        <f t="shared" si="6"/>
        <v>449</v>
      </c>
      <c r="C450">
        <v>0</v>
      </c>
      <c r="D450">
        <f>C450+'Excel Support'!$H$29</f>
        <v>7000</v>
      </c>
      <c r="E450">
        <f>C450-'Excel Support'!$H$29</f>
        <v>-7000</v>
      </c>
    </row>
    <row r="451" spans="1:5" x14ac:dyDescent="0.25">
      <c r="A451">
        <f t="shared" ref="A451:A514" si="7">A450+1</f>
        <v>450</v>
      </c>
      <c r="C451">
        <v>0</v>
      </c>
      <c r="D451">
        <f>C451+'Excel Support'!$H$29</f>
        <v>7000</v>
      </c>
      <c r="E451">
        <f>C451-'Excel Support'!$H$29</f>
        <v>-7000</v>
      </c>
    </row>
    <row r="452" spans="1:5" x14ac:dyDescent="0.25">
      <c r="A452">
        <f t="shared" si="7"/>
        <v>451</v>
      </c>
      <c r="C452">
        <v>0</v>
      </c>
      <c r="D452">
        <f>C452+'Excel Support'!$H$29</f>
        <v>7000</v>
      </c>
      <c r="E452">
        <f>C452-'Excel Support'!$H$29</f>
        <v>-7000</v>
      </c>
    </row>
    <row r="453" spans="1:5" x14ac:dyDescent="0.25">
      <c r="A453">
        <f t="shared" si="7"/>
        <v>452</v>
      </c>
      <c r="C453">
        <v>0</v>
      </c>
      <c r="D453">
        <f>C453+'Excel Support'!$H$29</f>
        <v>7000</v>
      </c>
      <c r="E453">
        <f>C453-'Excel Support'!$H$29</f>
        <v>-7000</v>
      </c>
    </row>
    <row r="454" spans="1:5" x14ac:dyDescent="0.25">
      <c r="A454">
        <f t="shared" si="7"/>
        <v>453</v>
      </c>
      <c r="C454">
        <v>0</v>
      </c>
      <c r="D454">
        <f>C454+'Excel Support'!$H$29</f>
        <v>7000</v>
      </c>
      <c r="E454">
        <f>C454-'Excel Support'!$H$29</f>
        <v>-7000</v>
      </c>
    </row>
    <row r="455" spans="1:5" x14ac:dyDescent="0.25">
      <c r="A455">
        <f t="shared" si="7"/>
        <v>454</v>
      </c>
      <c r="C455">
        <v>0</v>
      </c>
      <c r="D455">
        <f>C455+'Excel Support'!$H$29</f>
        <v>7000</v>
      </c>
      <c r="E455">
        <f>C455-'Excel Support'!$H$29</f>
        <v>-7000</v>
      </c>
    </row>
    <row r="456" spans="1:5" x14ac:dyDescent="0.25">
      <c r="A456">
        <f t="shared" si="7"/>
        <v>455</v>
      </c>
      <c r="C456">
        <v>0</v>
      </c>
      <c r="D456">
        <f>C456+'Excel Support'!$H$29</f>
        <v>7000</v>
      </c>
      <c r="E456">
        <f>C456-'Excel Support'!$H$29</f>
        <v>-7000</v>
      </c>
    </row>
    <row r="457" spans="1:5" x14ac:dyDescent="0.25">
      <c r="A457">
        <f t="shared" si="7"/>
        <v>456</v>
      </c>
      <c r="C457">
        <v>0</v>
      </c>
      <c r="D457">
        <f>C457+'Excel Support'!$H$29</f>
        <v>7000</v>
      </c>
      <c r="E457">
        <f>C457-'Excel Support'!$H$29</f>
        <v>-7000</v>
      </c>
    </row>
    <row r="458" spans="1:5" x14ac:dyDescent="0.25">
      <c r="A458">
        <f t="shared" si="7"/>
        <v>457</v>
      </c>
      <c r="C458">
        <v>0</v>
      </c>
      <c r="D458">
        <f>C458+'Excel Support'!$H$29</f>
        <v>7000</v>
      </c>
      <c r="E458">
        <f>C458-'Excel Support'!$H$29</f>
        <v>-7000</v>
      </c>
    </row>
    <row r="459" spans="1:5" x14ac:dyDescent="0.25">
      <c r="A459">
        <f t="shared" si="7"/>
        <v>458</v>
      </c>
      <c r="C459">
        <v>0</v>
      </c>
      <c r="D459">
        <f>C459+'Excel Support'!$H$29</f>
        <v>7000</v>
      </c>
      <c r="E459">
        <f>C459-'Excel Support'!$H$29</f>
        <v>-7000</v>
      </c>
    </row>
    <row r="460" spans="1:5" x14ac:dyDescent="0.25">
      <c r="A460">
        <f t="shared" si="7"/>
        <v>459</v>
      </c>
      <c r="C460">
        <v>0</v>
      </c>
      <c r="D460">
        <f>C460+'Excel Support'!$H$29</f>
        <v>7000</v>
      </c>
      <c r="E460">
        <f>C460-'Excel Support'!$H$29</f>
        <v>-7000</v>
      </c>
    </row>
    <row r="461" spans="1:5" x14ac:dyDescent="0.25">
      <c r="A461">
        <f t="shared" si="7"/>
        <v>460</v>
      </c>
      <c r="C461">
        <v>0</v>
      </c>
      <c r="D461">
        <f>C461+'Excel Support'!$H$29</f>
        <v>7000</v>
      </c>
      <c r="E461">
        <f>C461-'Excel Support'!$H$29</f>
        <v>-7000</v>
      </c>
    </row>
    <row r="462" spans="1:5" x14ac:dyDescent="0.25">
      <c r="A462">
        <f t="shared" si="7"/>
        <v>461</v>
      </c>
      <c r="C462">
        <v>0</v>
      </c>
      <c r="D462">
        <f>C462+'Excel Support'!$H$29</f>
        <v>7000</v>
      </c>
      <c r="E462">
        <f>C462-'Excel Support'!$H$29</f>
        <v>-7000</v>
      </c>
    </row>
    <row r="463" spans="1:5" x14ac:dyDescent="0.25">
      <c r="A463">
        <f t="shared" si="7"/>
        <v>462</v>
      </c>
      <c r="C463">
        <v>0</v>
      </c>
      <c r="D463">
        <f>C463+'Excel Support'!$H$29</f>
        <v>7000</v>
      </c>
      <c r="E463">
        <f>C463-'Excel Support'!$H$29</f>
        <v>-7000</v>
      </c>
    </row>
    <row r="464" spans="1:5" x14ac:dyDescent="0.25">
      <c r="A464">
        <f t="shared" si="7"/>
        <v>463</v>
      </c>
      <c r="C464">
        <v>0</v>
      </c>
      <c r="D464">
        <f>C464+'Excel Support'!$H$29</f>
        <v>7000</v>
      </c>
      <c r="E464">
        <f>C464-'Excel Support'!$H$29</f>
        <v>-7000</v>
      </c>
    </row>
    <row r="465" spans="1:5" x14ac:dyDescent="0.25">
      <c r="A465">
        <f t="shared" si="7"/>
        <v>464</v>
      </c>
      <c r="C465">
        <v>0</v>
      </c>
      <c r="D465">
        <f>C465+'Excel Support'!$H$29</f>
        <v>7000</v>
      </c>
      <c r="E465">
        <f>C465-'Excel Support'!$H$29</f>
        <v>-7000</v>
      </c>
    </row>
    <row r="466" spans="1:5" x14ac:dyDescent="0.25">
      <c r="A466">
        <f t="shared" si="7"/>
        <v>465</v>
      </c>
      <c r="C466">
        <v>0</v>
      </c>
      <c r="D466">
        <f>C466+'Excel Support'!$H$29</f>
        <v>7000</v>
      </c>
      <c r="E466">
        <f>C466-'Excel Support'!$H$29</f>
        <v>-7000</v>
      </c>
    </row>
    <row r="467" spans="1:5" x14ac:dyDescent="0.25">
      <c r="A467">
        <f t="shared" si="7"/>
        <v>466</v>
      </c>
      <c r="C467">
        <v>0</v>
      </c>
      <c r="D467">
        <f>C467+'Excel Support'!$H$29</f>
        <v>7000</v>
      </c>
      <c r="E467">
        <f>C467-'Excel Support'!$H$29</f>
        <v>-7000</v>
      </c>
    </row>
    <row r="468" spans="1:5" x14ac:dyDescent="0.25">
      <c r="A468">
        <f t="shared" si="7"/>
        <v>467</v>
      </c>
      <c r="C468">
        <v>0</v>
      </c>
      <c r="D468">
        <f>C468+'Excel Support'!$H$29</f>
        <v>7000</v>
      </c>
      <c r="E468">
        <f>C468-'Excel Support'!$H$29</f>
        <v>-7000</v>
      </c>
    </row>
    <row r="469" spans="1:5" x14ac:dyDescent="0.25">
      <c r="A469">
        <f t="shared" si="7"/>
        <v>468</v>
      </c>
      <c r="C469">
        <v>0</v>
      </c>
      <c r="D469">
        <f>C469+'Excel Support'!$H$29</f>
        <v>7000</v>
      </c>
      <c r="E469">
        <f>C469-'Excel Support'!$H$29</f>
        <v>-7000</v>
      </c>
    </row>
    <row r="470" spans="1:5" x14ac:dyDescent="0.25">
      <c r="A470">
        <f t="shared" si="7"/>
        <v>469</v>
      </c>
      <c r="C470">
        <v>0</v>
      </c>
      <c r="D470">
        <f>C470+'Excel Support'!$H$29</f>
        <v>7000</v>
      </c>
      <c r="E470">
        <f>C470-'Excel Support'!$H$29</f>
        <v>-7000</v>
      </c>
    </row>
    <row r="471" spans="1:5" x14ac:dyDescent="0.25">
      <c r="A471">
        <f t="shared" si="7"/>
        <v>470</v>
      </c>
      <c r="C471">
        <v>0</v>
      </c>
      <c r="D471">
        <f>C471+'Excel Support'!$H$29</f>
        <v>7000</v>
      </c>
      <c r="E471">
        <f>C471-'Excel Support'!$H$29</f>
        <v>-7000</v>
      </c>
    </row>
    <row r="472" spans="1:5" x14ac:dyDescent="0.25">
      <c r="A472">
        <f t="shared" si="7"/>
        <v>471</v>
      </c>
      <c r="C472">
        <v>0</v>
      </c>
      <c r="D472">
        <f>C472+'Excel Support'!$H$29</f>
        <v>7000</v>
      </c>
      <c r="E472">
        <f>C472-'Excel Support'!$H$29</f>
        <v>-7000</v>
      </c>
    </row>
    <row r="473" spans="1:5" x14ac:dyDescent="0.25">
      <c r="A473">
        <f t="shared" si="7"/>
        <v>472</v>
      </c>
      <c r="C473">
        <v>0</v>
      </c>
      <c r="D473">
        <f>C473+'Excel Support'!$H$29</f>
        <v>7000</v>
      </c>
      <c r="E473">
        <f>C473-'Excel Support'!$H$29</f>
        <v>-7000</v>
      </c>
    </row>
    <row r="474" spans="1:5" x14ac:dyDescent="0.25">
      <c r="A474">
        <f t="shared" si="7"/>
        <v>473</v>
      </c>
      <c r="C474">
        <v>0</v>
      </c>
      <c r="D474">
        <f>C474+'Excel Support'!$H$29</f>
        <v>7000</v>
      </c>
      <c r="E474">
        <f>C474-'Excel Support'!$H$29</f>
        <v>-7000</v>
      </c>
    </row>
    <row r="475" spans="1:5" x14ac:dyDescent="0.25">
      <c r="A475">
        <f t="shared" si="7"/>
        <v>474</v>
      </c>
      <c r="C475">
        <v>0</v>
      </c>
      <c r="D475">
        <f>C475+'Excel Support'!$H$29</f>
        <v>7000</v>
      </c>
      <c r="E475">
        <f>C475-'Excel Support'!$H$29</f>
        <v>-7000</v>
      </c>
    </row>
    <row r="476" spans="1:5" x14ac:dyDescent="0.25">
      <c r="A476">
        <f t="shared" si="7"/>
        <v>475</v>
      </c>
      <c r="C476">
        <v>0</v>
      </c>
      <c r="D476">
        <f>C476+'Excel Support'!$H$29</f>
        <v>7000</v>
      </c>
      <c r="E476">
        <f>C476-'Excel Support'!$H$29</f>
        <v>-7000</v>
      </c>
    </row>
    <row r="477" spans="1:5" x14ac:dyDescent="0.25">
      <c r="A477">
        <f t="shared" si="7"/>
        <v>476</v>
      </c>
      <c r="C477">
        <v>0</v>
      </c>
      <c r="D477">
        <f>C477+'Excel Support'!$H$29</f>
        <v>7000</v>
      </c>
      <c r="E477">
        <f>C477-'Excel Support'!$H$29</f>
        <v>-7000</v>
      </c>
    </row>
    <row r="478" spans="1:5" x14ac:dyDescent="0.25">
      <c r="A478">
        <f t="shared" si="7"/>
        <v>477</v>
      </c>
      <c r="C478">
        <v>0</v>
      </c>
      <c r="D478">
        <f>C478+'Excel Support'!$H$29</f>
        <v>7000</v>
      </c>
      <c r="E478">
        <f>C478-'Excel Support'!$H$29</f>
        <v>-7000</v>
      </c>
    </row>
    <row r="479" spans="1:5" x14ac:dyDescent="0.25">
      <c r="A479">
        <f t="shared" si="7"/>
        <v>478</v>
      </c>
      <c r="C479">
        <v>0</v>
      </c>
      <c r="D479">
        <f>C479+'Excel Support'!$H$29</f>
        <v>7000</v>
      </c>
      <c r="E479">
        <f>C479-'Excel Support'!$H$29</f>
        <v>-7000</v>
      </c>
    </row>
    <row r="480" spans="1:5" x14ac:dyDescent="0.25">
      <c r="A480">
        <f t="shared" si="7"/>
        <v>479</v>
      </c>
      <c r="C480">
        <v>0</v>
      </c>
      <c r="D480">
        <f>C480+'Excel Support'!$H$29</f>
        <v>7000</v>
      </c>
      <c r="E480">
        <f>C480-'Excel Support'!$H$29</f>
        <v>-7000</v>
      </c>
    </row>
    <row r="481" spans="1:5" x14ac:dyDescent="0.25">
      <c r="A481">
        <f t="shared" si="7"/>
        <v>480</v>
      </c>
      <c r="C481">
        <v>0</v>
      </c>
      <c r="D481">
        <f>C481+'Excel Support'!$H$29</f>
        <v>7000</v>
      </c>
      <c r="E481">
        <f>C481-'Excel Support'!$H$29</f>
        <v>-7000</v>
      </c>
    </row>
    <row r="482" spans="1:5" x14ac:dyDescent="0.25">
      <c r="A482">
        <f t="shared" si="7"/>
        <v>481</v>
      </c>
      <c r="C482">
        <v>0</v>
      </c>
      <c r="D482">
        <f>C482+'Excel Support'!$H$29</f>
        <v>7000</v>
      </c>
      <c r="E482">
        <f>C482-'Excel Support'!$H$29</f>
        <v>-7000</v>
      </c>
    </row>
    <row r="483" spans="1:5" x14ac:dyDescent="0.25">
      <c r="A483">
        <f t="shared" si="7"/>
        <v>482</v>
      </c>
      <c r="C483">
        <v>0</v>
      </c>
      <c r="D483">
        <f>C483+'Excel Support'!$H$29</f>
        <v>7000</v>
      </c>
      <c r="E483">
        <f>C483-'Excel Support'!$H$29</f>
        <v>-7000</v>
      </c>
    </row>
    <row r="484" spans="1:5" x14ac:dyDescent="0.25">
      <c r="A484">
        <f t="shared" si="7"/>
        <v>483</v>
      </c>
      <c r="C484">
        <v>0</v>
      </c>
      <c r="D484">
        <f>C484+'Excel Support'!$H$29</f>
        <v>7000</v>
      </c>
      <c r="E484">
        <f>C484-'Excel Support'!$H$29</f>
        <v>-7000</v>
      </c>
    </row>
    <row r="485" spans="1:5" x14ac:dyDescent="0.25">
      <c r="A485">
        <f t="shared" si="7"/>
        <v>484</v>
      </c>
      <c r="C485">
        <v>0</v>
      </c>
      <c r="D485">
        <f>C485+'Excel Support'!$H$29</f>
        <v>7000</v>
      </c>
      <c r="E485">
        <f>C485-'Excel Support'!$H$29</f>
        <v>-7000</v>
      </c>
    </row>
    <row r="486" spans="1:5" x14ac:dyDescent="0.25">
      <c r="A486">
        <f t="shared" si="7"/>
        <v>485</v>
      </c>
      <c r="C486">
        <v>0</v>
      </c>
      <c r="D486">
        <f>C486+'Excel Support'!$H$29</f>
        <v>7000</v>
      </c>
      <c r="E486">
        <f>C486-'Excel Support'!$H$29</f>
        <v>-7000</v>
      </c>
    </row>
    <row r="487" spans="1:5" x14ac:dyDescent="0.25">
      <c r="A487">
        <f t="shared" si="7"/>
        <v>486</v>
      </c>
      <c r="C487">
        <v>0</v>
      </c>
      <c r="D487">
        <f>C487+'Excel Support'!$H$29</f>
        <v>7000</v>
      </c>
      <c r="E487">
        <f>C487-'Excel Support'!$H$29</f>
        <v>-7000</v>
      </c>
    </row>
    <row r="488" spans="1:5" x14ac:dyDescent="0.25">
      <c r="A488">
        <f t="shared" si="7"/>
        <v>487</v>
      </c>
      <c r="C488">
        <v>0</v>
      </c>
      <c r="D488">
        <f>C488+'Excel Support'!$H$29</f>
        <v>7000</v>
      </c>
      <c r="E488">
        <f>C488-'Excel Support'!$H$29</f>
        <v>-7000</v>
      </c>
    </row>
    <row r="489" spans="1:5" x14ac:dyDescent="0.25">
      <c r="A489">
        <f t="shared" si="7"/>
        <v>488</v>
      </c>
      <c r="C489">
        <v>0</v>
      </c>
      <c r="D489">
        <f>C489+'Excel Support'!$H$29</f>
        <v>7000</v>
      </c>
      <c r="E489">
        <f>C489-'Excel Support'!$H$29</f>
        <v>-7000</v>
      </c>
    </row>
    <row r="490" spans="1:5" x14ac:dyDescent="0.25">
      <c r="A490">
        <f t="shared" si="7"/>
        <v>489</v>
      </c>
      <c r="C490">
        <v>0</v>
      </c>
      <c r="D490">
        <f>C490+'Excel Support'!$H$29</f>
        <v>7000</v>
      </c>
      <c r="E490">
        <f>C490-'Excel Support'!$H$29</f>
        <v>-7000</v>
      </c>
    </row>
    <row r="491" spans="1:5" x14ac:dyDescent="0.25">
      <c r="A491">
        <f t="shared" si="7"/>
        <v>490</v>
      </c>
      <c r="C491">
        <v>0</v>
      </c>
      <c r="D491">
        <f>C491+'Excel Support'!$H$29</f>
        <v>7000</v>
      </c>
      <c r="E491">
        <f>C491-'Excel Support'!$H$29</f>
        <v>-7000</v>
      </c>
    </row>
    <row r="492" spans="1:5" x14ac:dyDescent="0.25">
      <c r="A492">
        <f t="shared" si="7"/>
        <v>491</v>
      </c>
      <c r="C492">
        <v>0</v>
      </c>
      <c r="D492">
        <f>C492+'Excel Support'!$H$29</f>
        <v>7000</v>
      </c>
      <c r="E492">
        <f>C492-'Excel Support'!$H$29</f>
        <v>-7000</v>
      </c>
    </row>
    <row r="493" spans="1:5" x14ac:dyDescent="0.25">
      <c r="A493">
        <f t="shared" si="7"/>
        <v>492</v>
      </c>
      <c r="C493">
        <v>0</v>
      </c>
      <c r="D493">
        <f>C493+'Excel Support'!$H$29</f>
        <v>7000</v>
      </c>
      <c r="E493">
        <f>C493-'Excel Support'!$H$29</f>
        <v>-7000</v>
      </c>
    </row>
    <row r="494" spans="1:5" x14ac:dyDescent="0.25">
      <c r="A494">
        <f t="shared" si="7"/>
        <v>493</v>
      </c>
      <c r="C494">
        <v>0</v>
      </c>
      <c r="D494">
        <f>C494+'Excel Support'!$H$29</f>
        <v>7000</v>
      </c>
      <c r="E494">
        <f>C494-'Excel Support'!$H$29</f>
        <v>-7000</v>
      </c>
    </row>
    <row r="495" spans="1:5" x14ac:dyDescent="0.25">
      <c r="A495">
        <f t="shared" si="7"/>
        <v>494</v>
      </c>
      <c r="C495">
        <v>0</v>
      </c>
      <c r="D495">
        <f>C495+'Excel Support'!$H$29</f>
        <v>7000</v>
      </c>
      <c r="E495">
        <f>C495-'Excel Support'!$H$29</f>
        <v>-7000</v>
      </c>
    </row>
    <row r="496" spans="1:5" x14ac:dyDescent="0.25">
      <c r="A496">
        <f t="shared" si="7"/>
        <v>495</v>
      </c>
      <c r="C496">
        <v>0</v>
      </c>
      <c r="D496">
        <f>C496+'Excel Support'!$H$29</f>
        <v>7000</v>
      </c>
      <c r="E496">
        <f>C496-'Excel Support'!$H$29</f>
        <v>-7000</v>
      </c>
    </row>
    <row r="497" spans="1:5" x14ac:dyDescent="0.25">
      <c r="A497">
        <f t="shared" si="7"/>
        <v>496</v>
      </c>
      <c r="C497">
        <v>0</v>
      </c>
      <c r="D497">
        <f>C497+'Excel Support'!$H$29</f>
        <v>7000</v>
      </c>
      <c r="E497">
        <f>C497-'Excel Support'!$H$29</f>
        <v>-7000</v>
      </c>
    </row>
    <row r="498" spans="1:5" x14ac:dyDescent="0.25">
      <c r="A498">
        <f t="shared" si="7"/>
        <v>497</v>
      </c>
      <c r="C498">
        <v>0</v>
      </c>
      <c r="D498">
        <f>C498+'Excel Support'!$H$29</f>
        <v>7000</v>
      </c>
      <c r="E498">
        <f>C498-'Excel Support'!$H$29</f>
        <v>-7000</v>
      </c>
    </row>
    <row r="499" spans="1:5" x14ac:dyDescent="0.25">
      <c r="A499">
        <f t="shared" si="7"/>
        <v>498</v>
      </c>
      <c r="C499">
        <v>0</v>
      </c>
      <c r="D499">
        <f>C499+'Excel Support'!$H$29</f>
        <v>7000</v>
      </c>
      <c r="E499">
        <f>C499-'Excel Support'!$H$29</f>
        <v>-7000</v>
      </c>
    </row>
    <row r="500" spans="1:5" x14ac:dyDescent="0.25">
      <c r="A500">
        <f t="shared" si="7"/>
        <v>499</v>
      </c>
      <c r="C500">
        <v>0</v>
      </c>
      <c r="D500">
        <f>C500+'Excel Support'!$H$29</f>
        <v>7000</v>
      </c>
      <c r="E500">
        <f>C500-'Excel Support'!$H$29</f>
        <v>-7000</v>
      </c>
    </row>
    <row r="501" spans="1:5" x14ac:dyDescent="0.25">
      <c r="A501">
        <f t="shared" si="7"/>
        <v>500</v>
      </c>
      <c r="C501">
        <v>0</v>
      </c>
      <c r="D501">
        <f>C501+'Excel Support'!$H$29</f>
        <v>7000</v>
      </c>
      <c r="E501">
        <f>C501-'Excel Support'!$H$29</f>
        <v>-7000</v>
      </c>
    </row>
    <row r="502" spans="1:5" x14ac:dyDescent="0.25">
      <c r="A502">
        <f t="shared" si="7"/>
        <v>501</v>
      </c>
      <c r="C502">
        <v>0</v>
      </c>
      <c r="D502">
        <f>C502+'Excel Support'!$H$29</f>
        <v>7000</v>
      </c>
      <c r="E502">
        <f>C502-'Excel Support'!$H$29</f>
        <v>-7000</v>
      </c>
    </row>
    <row r="503" spans="1:5" x14ac:dyDescent="0.25">
      <c r="A503">
        <f t="shared" si="7"/>
        <v>502</v>
      </c>
      <c r="C503">
        <v>0</v>
      </c>
      <c r="D503">
        <f>C503+'Excel Support'!$H$29</f>
        <v>7000</v>
      </c>
      <c r="E503">
        <f>C503-'Excel Support'!$H$29</f>
        <v>-7000</v>
      </c>
    </row>
    <row r="504" spans="1:5" x14ac:dyDescent="0.25">
      <c r="A504">
        <f t="shared" si="7"/>
        <v>503</v>
      </c>
      <c r="C504">
        <v>0</v>
      </c>
      <c r="D504">
        <f>C504+'Excel Support'!$H$29</f>
        <v>7000</v>
      </c>
      <c r="E504">
        <f>C504-'Excel Support'!$H$29</f>
        <v>-7000</v>
      </c>
    </row>
    <row r="505" spans="1:5" x14ac:dyDescent="0.25">
      <c r="A505">
        <f t="shared" si="7"/>
        <v>504</v>
      </c>
      <c r="C505">
        <v>0</v>
      </c>
      <c r="D505">
        <f>C505+'Excel Support'!$H$29</f>
        <v>7000</v>
      </c>
      <c r="E505">
        <f>C505-'Excel Support'!$H$29</f>
        <v>-7000</v>
      </c>
    </row>
    <row r="506" spans="1:5" x14ac:dyDescent="0.25">
      <c r="A506">
        <f t="shared" si="7"/>
        <v>505</v>
      </c>
      <c r="C506">
        <v>0</v>
      </c>
      <c r="D506">
        <f>C506+'Excel Support'!$H$29</f>
        <v>7000</v>
      </c>
      <c r="E506">
        <f>C506-'Excel Support'!$H$29</f>
        <v>-7000</v>
      </c>
    </row>
    <row r="507" spans="1:5" x14ac:dyDescent="0.25">
      <c r="A507">
        <f t="shared" si="7"/>
        <v>506</v>
      </c>
      <c r="C507">
        <v>0</v>
      </c>
      <c r="D507">
        <f>C507+'Excel Support'!$H$29</f>
        <v>7000</v>
      </c>
      <c r="E507">
        <f>C507-'Excel Support'!$H$29</f>
        <v>-7000</v>
      </c>
    </row>
    <row r="508" spans="1:5" x14ac:dyDescent="0.25">
      <c r="A508">
        <f t="shared" si="7"/>
        <v>507</v>
      </c>
      <c r="C508">
        <v>0</v>
      </c>
      <c r="D508">
        <f>C508+'Excel Support'!$H$29</f>
        <v>7000</v>
      </c>
      <c r="E508">
        <f>C508-'Excel Support'!$H$29</f>
        <v>-7000</v>
      </c>
    </row>
    <row r="509" spans="1:5" x14ac:dyDescent="0.25">
      <c r="A509">
        <f t="shared" si="7"/>
        <v>508</v>
      </c>
      <c r="C509">
        <v>0</v>
      </c>
      <c r="D509">
        <f>C509+'Excel Support'!$H$29</f>
        <v>7000</v>
      </c>
      <c r="E509">
        <f>C509-'Excel Support'!$H$29</f>
        <v>-7000</v>
      </c>
    </row>
    <row r="510" spans="1:5" x14ac:dyDescent="0.25">
      <c r="A510">
        <f t="shared" si="7"/>
        <v>509</v>
      </c>
      <c r="C510">
        <v>0</v>
      </c>
      <c r="D510">
        <f>C510+'Excel Support'!$H$29</f>
        <v>7000</v>
      </c>
      <c r="E510">
        <f>C510-'Excel Support'!$H$29</f>
        <v>-7000</v>
      </c>
    </row>
    <row r="511" spans="1:5" x14ac:dyDescent="0.25">
      <c r="A511">
        <f t="shared" si="7"/>
        <v>510</v>
      </c>
      <c r="C511">
        <v>0</v>
      </c>
      <c r="D511">
        <f>C511+'Excel Support'!$H$29</f>
        <v>7000</v>
      </c>
      <c r="E511">
        <f>C511-'Excel Support'!$H$29</f>
        <v>-7000</v>
      </c>
    </row>
    <row r="512" spans="1:5" x14ac:dyDescent="0.25">
      <c r="A512">
        <f t="shared" si="7"/>
        <v>511</v>
      </c>
      <c r="C512">
        <v>0</v>
      </c>
      <c r="D512">
        <f>C512+'Excel Support'!$H$29</f>
        <v>7000</v>
      </c>
      <c r="E512">
        <f>C512-'Excel Support'!$H$29</f>
        <v>-7000</v>
      </c>
    </row>
    <row r="513" spans="1:5" x14ac:dyDescent="0.25">
      <c r="A513">
        <f t="shared" si="7"/>
        <v>512</v>
      </c>
      <c r="C513">
        <v>0</v>
      </c>
      <c r="D513">
        <f>C513+'Excel Support'!$H$29</f>
        <v>7000</v>
      </c>
      <c r="E513">
        <f>C513-'Excel Support'!$H$29</f>
        <v>-7000</v>
      </c>
    </row>
    <row r="514" spans="1:5" x14ac:dyDescent="0.25">
      <c r="A514">
        <f t="shared" si="7"/>
        <v>513</v>
      </c>
      <c r="C514">
        <v>0</v>
      </c>
      <c r="D514">
        <f>C514+'Excel Support'!$H$29</f>
        <v>7000</v>
      </c>
      <c r="E514">
        <f>C514-'Excel Support'!$H$29</f>
        <v>-7000</v>
      </c>
    </row>
    <row r="515" spans="1:5" x14ac:dyDescent="0.25">
      <c r="A515">
        <f t="shared" ref="A515:A578" si="8">A514+1</f>
        <v>514</v>
      </c>
      <c r="C515">
        <v>0</v>
      </c>
      <c r="D515">
        <f>C515+'Excel Support'!$H$29</f>
        <v>7000</v>
      </c>
      <c r="E515">
        <f>C515-'Excel Support'!$H$29</f>
        <v>-7000</v>
      </c>
    </row>
    <row r="516" spans="1:5" x14ac:dyDescent="0.25">
      <c r="A516">
        <f t="shared" si="8"/>
        <v>515</v>
      </c>
      <c r="C516">
        <v>0</v>
      </c>
      <c r="D516">
        <f>C516+'Excel Support'!$H$29</f>
        <v>7000</v>
      </c>
      <c r="E516">
        <f>C516-'Excel Support'!$H$29</f>
        <v>-7000</v>
      </c>
    </row>
    <row r="517" spans="1:5" x14ac:dyDescent="0.25">
      <c r="A517">
        <f t="shared" si="8"/>
        <v>516</v>
      </c>
      <c r="C517">
        <v>0</v>
      </c>
      <c r="D517">
        <f>C517+'Excel Support'!$H$29</f>
        <v>7000</v>
      </c>
      <c r="E517">
        <f>C517-'Excel Support'!$H$29</f>
        <v>-7000</v>
      </c>
    </row>
    <row r="518" spans="1:5" x14ac:dyDescent="0.25">
      <c r="A518">
        <f t="shared" si="8"/>
        <v>517</v>
      </c>
      <c r="C518">
        <v>0</v>
      </c>
      <c r="D518">
        <f>C518+'Excel Support'!$H$29</f>
        <v>7000</v>
      </c>
      <c r="E518">
        <f>C518-'Excel Support'!$H$29</f>
        <v>-7000</v>
      </c>
    </row>
    <row r="519" spans="1:5" x14ac:dyDescent="0.25">
      <c r="A519">
        <f t="shared" si="8"/>
        <v>518</v>
      </c>
      <c r="C519">
        <v>0</v>
      </c>
      <c r="D519">
        <f>C519+'Excel Support'!$H$29</f>
        <v>7000</v>
      </c>
      <c r="E519">
        <f>C519-'Excel Support'!$H$29</f>
        <v>-7000</v>
      </c>
    </row>
    <row r="520" spans="1:5" x14ac:dyDescent="0.25">
      <c r="A520">
        <f t="shared" si="8"/>
        <v>519</v>
      </c>
      <c r="C520">
        <v>0</v>
      </c>
      <c r="D520">
        <f>C520+'Excel Support'!$H$29</f>
        <v>7000</v>
      </c>
      <c r="E520">
        <f>C520-'Excel Support'!$H$29</f>
        <v>-7000</v>
      </c>
    </row>
    <row r="521" spans="1:5" x14ac:dyDescent="0.25">
      <c r="A521">
        <f t="shared" si="8"/>
        <v>520</v>
      </c>
      <c r="C521">
        <v>0</v>
      </c>
      <c r="D521">
        <f>C521+'Excel Support'!$H$29</f>
        <v>7000</v>
      </c>
      <c r="E521">
        <f>C521-'Excel Support'!$H$29</f>
        <v>-7000</v>
      </c>
    </row>
    <row r="522" spans="1:5" x14ac:dyDescent="0.25">
      <c r="A522">
        <f t="shared" si="8"/>
        <v>521</v>
      </c>
      <c r="C522">
        <v>0</v>
      </c>
      <c r="D522">
        <f>C522+'Excel Support'!$H$29</f>
        <v>7000</v>
      </c>
      <c r="E522">
        <f>C522-'Excel Support'!$H$29</f>
        <v>-7000</v>
      </c>
    </row>
    <row r="523" spans="1:5" x14ac:dyDescent="0.25">
      <c r="A523">
        <f t="shared" si="8"/>
        <v>522</v>
      </c>
      <c r="C523">
        <v>0</v>
      </c>
      <c r="D523">
        <f>C523+'Excel Support'!$H$29</f>
        <v>7000</v>
      </c>
      <c r="E523">
        <f>C523-'Excel Support'!$H$29</f>
        <v>-7000</v>
      </c>
    </row>
    <row r="524" spans="1:5" x14ac:dyDescent="0.25">
      <c r="A524">
        <f t="shared" si="8"/>
        <v>523</v>
      </c>
      <c r="C524">
        <v>0</v>
      </c>
      <c r="D524">
        <f>C524+'Excel Support'!$H$29</f>
        <v>7000</v>
      </c>
      <c r="E524">
        <f>C524-'Excel Support'!$H$29</f>
        <v>-7000</v>
      </c>
    </row>
    <row r="525" spans="1:5" x14ac:dyDescent="0.25">
      <c r="A525">
        <f t="shared" si="8"/>
        <v>524</v>
      </c>
      <c r="C525">
        <v>0</v>
      </c>
      <c r="D525">
        <f>C525+'Excel Support'!$H$29</f>
        <v>7000</v>
      </c>
      <c r="E525">
        <f>C525-'Excel Support'!$H$29</f>
        <v>-7000</v>
      </c>
    </row>
    <row r="526" spans="1:5" x14ac:dyDescent="0.25">
      <c r="A526">
        <f t="shared" si="8"/>
        <v>525</v>
      </c>
      <c r="C526">
        <v>0</v>
      </c>
      <c r="D526">
        <f>C526+'Excel Support'!$H$29</f>
        <v>7000</v>
      </c>
      <c r="E526">
        <f>C526-'Excel Support'!$H$29</f>
        <v>-7000</v>
      </c>
    </row>
    <row r="527" spans="1:5" x14ac:dyDescent="0.25">
      <c r="A527">
        <f t="shared" si="8"/>
        <v>526</v>
      </c>
      <c r="C527">
        <v>0</v>
      </c>
      <c r="D527">
        <f>C527+'Excel Support'!$H$29</f>
        <v>7000</v>
      </c>
      <c r="E527">
        <f>C527-'Excel Support'!$H$29</f>
        <v>-7000</v>
      </c>
    </row>
    <row r="528" spans="1:5" x14ac:dyDescent="0.25">
      <c r="A528">
        <f t="shared" si="8"/>
        <v>527</v>
      </c>
      <c r="C528">
        <v>0</v>
      </c>
      <c r="D528">
        <f>C528+'Excel Support'!$H$29</f>
        <v>7000</v>
      </c>
      <c r="E528">
        <f>C528-'Excel Support'!$H$29</f>
        <v>-7000</v>
      </c>
    </row>
    <row r="529" spans="1:5" x14ac:dyDescent="0.25">
      <c r="A529">
        <f t="shared" si="8"/>
        <v>528</v>
      </c>
      <c r="C529">
        <v>0</v>
      </c>
      <c r="D529">
        <f>C529+'Excel Support'!$H$29</f>
        <v>7000</v>
      </c>
      <c r="E529">
        <f>C529-'Excel Support'!$H$29</f>
        <v>-7000</v>
      </c>
    </row>
    <row r="530" spans="1:5" x14ac:dyDescent="0.25">
      <c r="A530">
        <f t="shared" si="8"/>
        <v>529</v>
      </c>
      <c r="C530">
        <v>0</v>
      </c>
      <c r="D530">
        <f>C530+'Excel Support'!$H$29</f>
        <v>7000</v>
      </c>
      <c r="E530">
        <f>C530-'Excel Support'!$H$29</f>
        <v>-7000</v>
      </c>
    </row>
    <row r="531" spans="1:5" x14ac:dyDescent="0.25">
      <c r="A531">
        <f t="shared" si="8"/>
        <v>530</v>
      </c>
      <c r="C531">
        <v>0</v>
      </c>
      <c r="D531">
        <f>C531+'Excel Support'!$H$29</f>
        <v>7000</v>
      </c>
      <c r="E531">
        <f>C531-'Excel Support'!$H$29</f>
        <v>-7000</v>
      </c>
    </row>
    <row r="532" spans="1:5" x14ac:dyDescent="0.25">
      <c r="A532">
        <f t="shared" si="8"/>
        <v>531</v>
      </c>
      <c r="C532">
        <v>0</v>
      </c>
      <c r="D532">
        <f>C532+'Excel Support'!$H$29</f>
        <v>7000</v>
      </c>
      <c r="E532">
        <f>C532-'Excel Support'!$H$29</f>
        <v>-7000</v>
      </c>
    </row>
    <row r="533" spans="1:5" x14ac:dyDescent="0.25">
      <c r="A533">
        <f t="shared" si="8"/>
        <v>532</v>
      </c>
      <c r="C533">
        <v>0</v>
      </c>
      <c r="D533">
        <f>C533+'Excel Support'!$H$29</f>
        <v>7000</v>
      </c>
      <c r="E533">
        <f>C533-'Excel Support'!$H$29</f>
        <v>-7000</v>
      </c>
    </row>
    <row r="534" spans="1:5" x14ac:dyDescent="0.25">
      <c r="A534">
        <f t="shared" si="8"/>
        <v>533</v>
      </c>
      <c r="C534">
        <v>0</v>
      </c>
      <c r="D534">
        <f>C534+'Excel Support'!$H$29</f>
        <v>7000</v>
      </c>
      <c r="E534">
        <f>C534-'Excel Support'!$H$29</f>
        <v>-7000</v>
      </c>
    </row>
    <row r="535" spans="1:5" x14ac:dyDescent="0.25">
      <c r="A535">
        <f t="shared" si="8"/>
        <v>534</v>
      </c>
      <c r="C535">
        <v>0</v>
      </c>
      <c r="D535">
        <f>C535+'Excel Support'!$H$29</f>
        <v>7000</v>
      </c>
      <c r="E535">
        <f>C535-'Excel Support'!$H$29</f>
        <v>-7000</v>
      </c>
    </row>
    <row r="536" spans="1:5" x14ac:dyDescent="0.25">
      <c r="A536">
        <f t="shared" si="8"/>
        <v>535</v>
      </c>
      <c r="C536">
        <v>0</v>
      </c>
      <c r="D536">
        <f>C536+'Excel Support'!$H$29</f>
        <v>7000</v>
      </c>
      <c r="E536">
        <f>C536-'Excel Support'!$H$29</f>
        <v>-7000</v>
      </c>
    </row>
    <row r="537" spans="1:5" x14ac:dyDescent="0.25">
      <c r="A537">
        <f t="shared" si="8"/>
        <v>536</v>
      </c>
      <c r="C537">
        <v>0</v>
      </c>
      <c r="D537">
        <f>C537+'Excel Support'!$H$29</f>
        <v>7000</v>
      </c>
      <c r="E537">
        <f>C537-'Excel Support'!$H$29</f>
        <v>-7000</v>
      </c>
    </row>
    <row r="538" spans="1:5" x14ac:dyDescent="0.25">
      <c r="A538">
        <f t="shared" si="8"/>
        <v>537</v>
      </c>
      <c r="C538">
        <v>0</v>
      </c>
      <c r="D538">
        <f>C538+'Excel Support'!$H$29</f>
        <v>7000</v>
      </c>
      <c r="E538">
        <f>C538-'Excel Support'!$H$29</f>
        <v>-7000</v>
      </c>
    </row>
    <row r="539" spans="1:5" x14ac:dyDescent="0.25">
      <c r="A539">
        <f t="shared" si="8"/>
        <v>538</v>
      </c>
      <c r="C539">
        <v>0</v>
      </c>
      <c r="D539">
        <f>C539+'Excel Support'!$H$29</f>
        <v>7000</v>
      </c>
      <c r="E539">
        <f>C539-'Excel Support'!$H$29</f>
        <v>-7000</v>
      </c>
    </row>
    <row r="540" spans="1:5" x14ac:dyDescent="0.25">
      <c r="A540">
        <f t="shared" si="8"/>
        <v>539</v>
      </c>
      <c r="C540">
        <v>0</v>
      </c>
      <c r="D540">
        <f>C540+'Excel Support'!$H$29</f>
        <v>7000</v>
      </c>
      <c r="E540">
        <f>C540-'Excel Support'!$H$29</f>
        <v>-7000</v>
      </c>
    </row>
    <row r="541" spans="1:5" x14ac:dyDescent="0.25">
      <c r="A541">
        <f t="shared" si="8"/>
        <v>540</v>
      </c>
      <c r="C541">
        <v>0</v>
      </c>
      <c r="D541">
        <f>C541+'Excel Support'!$H$29</f>
        <v>7000</v>
      </c>
      <c r="E541">
        <f>C541-'Excel Support'!$H$29</f>
        <v>-7000</v>
      </c>
    </row>
    <row r="542" spans="1:5" x14ac:dyDescent="0.25">
      <c r="A542">
        <f t="shared" si="8"/>
        <v>541</v>
      </c>
      <c r="C542">
        <v>0</v>
      </c>
      <c r="D542">
        <f>C542+'Excel Support'!$H$29</f>
        <v>7000</v>
      </c>
      <c r="E542">
        <f>C542-'Excel Support'!$H$29</f>
        <v>-7000</v>
      </c>
    </row>
    <row r="543" spans="1:5" x14ac:dyDescent="0.25">
      <c r="A543">
        <f t="shared" si="8"/>
        <v>542</v>
      </c>
      <c r="C543">
        <v>0</v>
      </c>
      <c r="D543">
        <f>C543+'Excel Support'!$H$29</f>
        <v>7000</v>
      </c>
      <c r="E543">
        <f>C543-'Excel Support'!$H$29</f>
        <v>-7000</v>
      </c>
    </row>
    <row r="544" spans="1:5" x14ac:dyDescent="0.25">
      <c r="A544">
        <f t="shared" si="8"/>
        <v>543</v>
      </c>
      <c r="C544">
        <v>0</v>
      </c>
      <c r="D544">
        <f>C544+'Excel Support'!$H$29</f>
        <v>7000</v>
      </c>
      <c r="E544">
        <f>C544-'Excel Support'!$H$29</f>
        <v>-7000</v>
      </c>
    </row>
    <row r="545" spans="1:5" x14ac:dyDescent="0.25">
      <c r="A545">
        <f t="shared" si="8"/>
        <v>544</v>
      </c>
      <c r="C545">
        <v>0</v>
      </c>
      <c r="D545">
        <f>C545+'Excel Support'!$H$29</f>
        <v>7000</v>
      </c>
      <c r="E545">
        <f>C545-'Excel Support'!$H$29</f>
        <v>-7000</v>
      </c>
    </row>
    <row r="546" spans="1:5" x14ac:dyDescent="0.25">
      <c r="A546">
        <f t="shared" si="8"/>
        <v>545</v>
      </c>
      <c r="C546">
        <v>0</v>
      </c>
      <c r="D546">
        <f>C546+'Excel Support'!$H$29</f>
        <v>7000</v>
      </c>
      <c r="E546">
        <f>C546-'Excel Support'!$H$29</f>
        <v>-7000</v>
      </c>
    </row>
    <row r="547" spans="1:5" x14ac:dyDescent="0.25">
      <c r="A547">
        <f t="shared" si="8"/>
        <v>546</v>
      </c>
      <c r="C547">
        <v>0</v>
      </c>
      <c r="D547">
        <f>C547+'Excel Support'!$H$29</f>
        <v>7000</v>
      </c>
      <c r="E547">
        <f>C547-'Excel Support'!$H$29</f>
        <v>-7000</v>
      </c>
    </row>
    <row r="548" spans="1:5" x14ac:dyDescent="0.25">
      <c r="A548">
        <f t="shared" si="8"/>
        <v>547</v>
      </c>
      <c r="C548">
        <v>0</v>
      </c>
      <c r="D548">
        <f>C548+'Excel Support'!$H$29</f>
        <v>7000</v>
      </c>
      <c r="E548">
        <f>C548-'Excel Support'!$H$29</f>
        <v>-7000</v>
      </c>
    </row>
    <row r="549" spans="1:5" x14ac:dyDescent="0.25">
      <c r="A549">
        <f t="shared" si="8"/>
        <v>548</v>
      </c>
      <c r="C549">
        <v>0</v>
      </c>
      <c r="D549">
        <f>C549+'Excel Support'!$H$29</f>
        <v>7000</v>
      </c>
      <c r="E549">
        <f>C549-'Excel Support'!$H$29</f>
        <v>-7000</v>
      </c>
    </row>
    <row r="550" spans="1:5" x14ac:dyDescent="0.25">
      <c r="A550">
        <f t="shared" si="8"/>
        <v>549</v>
      </c>
      <c r="C550">
        <v>0</v>
      </c>
      <c r="D550">
        <f>C550+'Excel Support'!$H$29</f>
        <v>7000</v>
      </c>
      <c r="E550">
        <f>C550-'Excel Support'!$H$29</f>
        <v>-7000</v>
      </c>
    </row>
    <row r="551" spans="1:5" x14ac:dyDescent="0.25">
      <c r="A551">
        <f t="shared" si="8"/>
        <v>550</v>
      </c>
      <c r="C551">
        <v>0</v>
      </c>
      <c r="D551">
        <f>C551+'Excel Support'!$H$29</f>
        <v>7000</v>
      </c>
      <c r="E551">
        <f>C551-'Excel Support'!$H$29</f>
        <v>-7000</v>
      </c>
    </row>
    <row r="552" spans="1:5" x14ac:dyDescent="0.25">
      <c r="A552">
        <f t="shared" si="8"/>
        <v>551</v>
      </c>
      <c r="C552">
        <v>0</v>
      </c>
      <c r="D552">
        <f>C552+'Excel Support'!$H$29</f>
        <v>7000</v>
      </c>
      <c r="E552">
        <f>C552-'Excel Support'!$H$29</f>
        <v>-7000</v>
      </c>
    </row>
    <row r="553" spans="1:5" x14ac:dyDescent="0.25">
      <c r="A553">
        <f t="shared" si="8"/>
        <v>552</v>
      </c>
      <c r="C553">
        <v>0</v>
      </c>
      <c r="D553">
        <f>C553+'Excel Support'!$H$29</f>
        <v>7000</v>
      </c>
      <c r="E553">
        <f>C553-'Excel Support'!$H$29</f>
        <v>-7000</v>
      </c>
    </row>
    <row r="554" spans="1:5" x14ac:dyDescent="0.25">
      <c r="A554">
        <f t="shared" si="8"/>
        <v>553</v>
      </c>
      <c r="C554">
        <v>0</v>
      </c>
      <c r="D554">
        <f>C554+'Excel Support'!$H$29</f>
        <v>7000</v>
      </c>
      <c r="E554">
        <f>C554-'Excel Support'!$H$29</f>
        <v>-7000</v>
      </c>
    </row>
    <row r="555" spans="1:5" x14ac:dyDescent="0.25">
      <c r="A555">
        <f t="shared" si="8"/>
        <v>554</v>
      </c>
      <c r="C555">
        <v>0</v>
      </c>
      <c r="D555">
        <f>C555+'Excel Support'!$H$29</f>
        <v>7000</v>
      </c>
      <c r="E555">
        <f>C555-'Excel Support'!$H$29</f>
        <v>-7000</v>
      </c>
    </row>
    <row r="556" spans="1:5" x14ac:dyDescent="0.25">
      <c r="A556">
        <f t="shared" si="8"/>
        <v>555</v>
      </c>
      <c r="C556">
        <v>0</v>
      </c>
      <c r="D556">
        <f>C556+'Excel Support'!$H$29</f>
        <v>7000</v>
      </c>
      <c r="E556">
        <f>C556-'Excel Support'!$H$29</f>
        <v>-7000</v>
      </c>
    </row>
    <row r="557" spans="1:5" x14ac:dyDescent="0.25">
      <c r="A557">
        <f t="shared" si="8"/>
        <v>556</v>
      </c>
      <c r="C557">
        <v>0</v>
      </c>
      <c r="D557">
        <f>C557+'Excel Support'!$H$29</f>
        <v>7000</v>
      </c>
      <c r="E557">
        <f>C557-'Excel Support'!$H$29</f>
        <v>-7000</v>
      </c>
    </row>
    <row r="558" spans="1:5" x14ac:dyDescent="0.25">
      <c r="A558">
        <f t="shared" si="8"/>
        <v>557</v>
      </c>
      <c r="C558">
        <v>0</v>
      </c>
      <c r="D558">
        <f>C558+'Excel Support'!$H$29</f>
        <v>7000</v>
      </c>
      <c r="E558">
        <f>C558-'Excel Support'!$H$29</f>
        <v>-7000</v>
      </c>
    </row>
    <row r="559" spans="1:5" x14ac:dyDescent="0.25">
      <c r="A559">
        <f t="shared" si="8"/>
        <v>558</v>
      </c>
      <c r="C559">
        <v>0</v>
      </c>
      <c r="D559">
        <f>C559+'Excel Support'!$H$29</f>
        <v>7000</v>
      </c>
      <c r="E559">
        <f>C559-'Excel Support'!$H$29</f>
        <v>-7000</v>
      </c>
    </row>
    <row r="560" spans="1:5" x14ac:dyDescent="0.25">
      <c r="A560">
        <f t="shared" si="8"/>
        <v>559</v>
      </c>
      <c r="C560">
        <v>0</v>
      </c>
      <c r="D560">
        <f>C560+'Excel Support'!$H$29</f>
        <v>7000</v>
      </c>
      <c r="E560">
        <f>C560-'Excel Support'!$H$29</f>
        <v>-7000</v>
      </c>
    </row>
    <row r="561" spans="1:5" x14ac:dyDescent="0.25">
      <c r="A561">
        <f t="shared" si="8"/>
        <v>560</v>
      </c>
      <c r="C561">
        <v>0</v>
      </c>
      <c r="D561">
        <f>C561+'Excel Support'!$H$29</f>
        <v>7000</v>
      </c>
      <c r="E561">
        <f>C561-'Excel Support'!$H$29</f>
        <v>-7000</v>
      </c>
    </row>
    <row r="562" spans="1:5" x14ac:dyDescent="0.25">
      <c r="A562">
        <f t="shared" si="8"/>
        <v>561</v>
      </c>
      <c r="C562">
        <v>0</v>
      </c>
      <c r="D562">
        <f>C562+'Excel Support'!$H$29</f>
        <v>7000</v>
      </c>
      <c r="E562">
        <f>C562-'Excel Support'!$H$29</f>
        <v>-7000</v>
      </c>
    </row>
    <row r="563" spans="1:5" x14ac:dyDescent="0.25">
      <c r="A563">
        <f t="shared" si="8"/>
        <v>562</v>
      </c>
      <c r="C563">
        <v>0</v>
      </c>
      <c r="D563">
        <f>C563+'Excel Support'!$H$29</f>
        <v>7000</v>
      </c>
      <c r="E563">
        <f>C563-'Excel Support'!$H$29</f>
        <v>-7000</v>
      </c>
    </row>
    <row r="564" spans="1:5" x14ac:dyDescent="0.25">
      <c r="A564">
        <f t="shared" si="8"/>
        <v>563</v>
      </c>
      <c r="C564">
        <v>0</v>
      </c>
      <c r="D564">
        <f>C564+'Excel Support'!$H$29</f>
        <v>7000</v>
      </c>
      <c r="E564">
        <f>C564-'Excel Support'!$H$29</f>
        <v>-7000</v>
      </c>
    </row>
    <row r="565" spans="1:5" x14ac:dyDescent="0.25">
      <c r="A565">
        <f t="shared" si="8"/>
        <v>564</v>
      </c>
      <c r="C565">
        <v>0</v>
      </c>
      <c r="D565">
        <f>C565+'Excel Support'!$H$29</f>
        <v>7000</v>
      </c>
      <c r="E565">
        <f>C565-'Excel Support'!$H$29</f>
        <v>-7000</v>
      </c>
    </row>
    <row r="566" spans="1:5" x14ac:dyDescent="0.25">
      <c r="A566">
        <f t="shared" si="8"/>
        <v>565</v>
      </c>
      <c r="C566">
        <v>0</v>
      </c>
      <c r="D566">
        <f>C566+'Excel Support'!$H$29</f>
        <v>7000</v>
      </c>
      <c r="E566">
        <f>C566-'Excel Support'!$H$29</f>
        <v>-7000</v>
      </c>
    </row>
    <row r="567" spans="1:5" x14ac:dyDescent="0.25">
      <c r="A567">
        <f t="shared" si="8"/>
        <v>566</v>
      </c>
      <c r="C567">
        <v>0</v>
      </c>
      <c r="D567">
        <f>C567+'Excel Support'!$H$29</f>
        <v>7000</v>
      </c>
      <c r="E567">
        <f>C567-'Excel Support'!$H$29</f>
        <v>-7000</v>
      </c>
    </row>
    <row r="568" spans="1:5" x14ac:dyDescent="0.25">
      <c r="A568">
        <f t="shared" si="8"/>
        <v>567</v>
      </c>
      <c r="C568">
        <v>0</v>
      </c>
      <c r="D568">
        <f>C568+'Excel Support'!$H$29</f>
        <v>7000</v>
      </c>
      <c r="E568">
        <f>C568-'Excel Support'!$H$29</f>
        <v>-7000</v>
      </c>
    </row>
    <row r="569" spans="1:5" x14ac:dyDescent="0.25">
      <c r="A569">
        <f t="shared" si="8"/>
        <v>568</v>
      </c>
      <c r="C569">
        <v>0</v>
      </c>
      <c r="D569">
        <f>C569+'Excel Support'!$H$29</f>
        <v>7000</v>
      </c>
      <c r="E569">
        <f>C569-'Excel Support'!$H$29</f>
        <v>-7000</v>
      </c>
    </row>
    <row r="570" spans="1:5" x14ac:dyDescent="0.25">
      <c r="A570">
        <f t="shared" si="8"/>
        <v>569</v>
      </c>
      <c r="C570">
        <v>0</v>
      </c>
      <c r="D570">
        <f>C570+'Excel Support'!$H$29</f>
        <v>7000</v>
      </c>
      <c r="E570">
        <f>C570-'Excel Support'!$H$29</f>
        <v>-7000</v>
      </c>
    </row>
    <row r="571" spans="1:5" x14ac:dyDescent="0.25">
      <c r="A571">
        <f t="shared" si="8"/>
        <v>570</v>
      </c>
      <c r="C571">
        <v>0</v>
      </c>
      <c r="D571">
        <f>C571+'Excel Support'!$H$29</f>
        <v>7000</v>
      </c>
      <c r="E571">
        <f>C571-'Excel Support'!$H$29</f>
        <v>-7000</v>
      </c>
    </row>
    <row r="572" spans="1:5" x14ac:dyDescent="0.25">
      <c r="A572">
        <f t="shared" si="8"/>
        <v>571</v>
      </c>
      <c r="C572">
        <v>0</v>
      </c>
      <c r="D572">
        <f>C572+'Excel Support'!$H$29</f>
        <v>7000</v>
      </c>
      <c r="E572">
        <f>C572-'Excel Support'!$H$29</f>
        <v>-7000</v>
      </c>
    </row>
    <row r="573" spans="1:5" x14ac:dyDescent="0.25">
      <c r="A573">
        <f t="shared" si="8"/>
        <v>572</v>
      </c>
      <c r="C573">
        <v>0</v>
      </c>
      <c r="D573">
        <f>C573+'Excel Support'!$H$29</f>
        <v>7000</v>
      </c>
      <c r="E573">
        <f>C573-'Excel Support'!$H$29</f>
        <v>-7000</v>
      </c>
    </row>
    <row r="574" spans="1:5" x14ac:dyDescent="0.25">
      <c r="A574">
        <f t="shared" si="8"/>
        <v>573</v>
      </c>
      <c r="C574">
        <v>0</v>
      </c>
      <c r="D574">
        <f>C574+'Excel Support'!$H$29</f>
        <v>7000</v>
      </c>
      <c r="E574">
        <f>C574-'Excel Support'!$H$29</f>
        <v>-7000</v>
      </c>
    </row>
    <row r="575" spans="1:5" x14ac:dyDescent="0.25">
      <c r="A575">
        <f t="shared" si="8"/>
        <v>574</v>
      </c>
      <c r="C575">
        <v>0</v>
      </c>
      <c r="D575">
        <f>C575+'Excel Support'!$H$29</f>
        <v>7000</v>
      </c>
      <c r="E575">
        <f>C575-'Excel Support'!$H$29</f>
        <v>-7000</v>
      </c>
    </row>
    <row r="576" spans="1:5" x14ac:dyDescent="0.25">
      <c r="A576">
        <f t="shared" si="8"/>
        <v>575</v>
      </c>
      <c r="C576">
        <v>0</v>
      </c>
      <c r="D576">
        <f>C576+'Excel Support'!$H$29</f>
        <v>7000</v>
      </c>
      <c r="E576">
        <f>C576-'Excel Support'!$H$29</f>
        <v>-7000</v>
      </c>
    </row>
    <row r="577" spans="1:5" x14ac:dyDescent="0.25">
      <c r="A577">
        <f t="shared" si="8"/>
        <v>576</v>
      </c>
      <c r="C577">
        <v>0</v>
      </c>
      <c r="D577">
        <f>C577+'Excel Support'!$H$29</f>
        <v>7000</v>
      </c>
      <c r="E577">
        <f>C577-'Excel Support'!$H$29</f>
        <v>-7000</v>
      </c>
    </row>
    <row r="578" spans="1:5" x14ac:dyDescent="0.25">
      <c r="A578">
        <f t="shared" si="8"/>
        <v>577</v>
      </c>
      <c r="C578">
        <v>0</v>
      </c>
      <c r="D578">
        <f>C578+'Excel Support'!$H$29</f>
        <v>7000</v>
      </c>
      <c r="E578">
        <f>C578-'Excel Support'!$H$29</f>
        <v>-7000</v>
      </c>
    </row>
    <row r="579" spans="1:5" x14ac:dyDescent="0.25">
      <c r="A579">
        <f t="shared" ref="A579:A600" si="9">A578+1</f>
        <v>578</v>
      </c>
      <c r="C579">
        <v>0</v>
      </c>
      <c r="D579">
        <f>C579+'Excel Support'!$H$29</f>
        <v>7000</v>
      </c>
      <c r="E579">
        <f>C579-'Excel Support'!$H$29</f>
        <v>-7000</v>
      </c>
    </row>
    <row r="580" spans="1:5" x14ac:dyDescent="0.25">
      <c r="A580">
        <f t="shared" si="9"/>
        <v>579</v>
      </c>
      <c r="C580">
        <v>0</v>
      </c>
      <c r="D580">
        <f>C580+'Excel Support'!$H$29</f>
        <v>7000</v>
      </c>
      <c r="E580">
        <f>C580-'Excel Support'!$H$29</f>
        <v>-7000</v>
      </c>
    </row>
    <row r="581" spans="1:5" x14ac:dyDescent="0.25">
      <c r="A581">
        <f t="shared" si="9"/>
        <v>580</v>
      </c>
      <c r="C581">
        <v>0</v>
      </c>
      <c r="D581">
        <f>C581+'Excel Support'!$H$29</f>
        <v>7000</v>
      </c>
      <c r="E581">
        <f>C581-'Excel Support'!$H$29</f>
        <v>-7000</v>
      </c>
    </row>
    <row r="582" spans="1:5" x14ac:dyDescent="0.25">
      <c r="A582">
        <f t="shared" si="9"/>
        <v>581</v>
      </c>
      <c r="C582">
        <v>0</v>
      </c>
      <c r="D582">
        <f>C582+'Excel Support'!$H$29</f>
        <v>7000</v>
      </c>
      <c r="E582">
        <f>C582-'Excel Support'!$H$29</f>
        <v>-7000</v>
      </c>
    </row>
    <row r="583" spans="1:5" x14ac:dyDescent="0.25">
      <c r="A583">
        <f t="shared" si="9"/>
        <v>582</v>
      </c>
      <c r="C583">
        <v>0</v>
      </c>
      <c r="D583">
        <f>C583+'Excel Support'!$H$29</f>
        <v>7000</v>
      </c>
      <c r="E583">
        <f>C583-'Excel Support'!$H$29</f>
        <v>-7000</v>
      </c>
    </row>
    <row r="584" spans="1:5" x14ac:dyDescent="0.25">
      <c r="A584">
        <f t="shared" si="9"/>
        <v>583</v>
      </c>
      <c r="C584">
        <v>0</v>
      </c>
      <c r="D584">
        <f>C584+'Excel Support'!$H$29</f>
        <v>7000</v>
      </c>
      <c r="E584">
        <f>C584-'Excel Support'!$H$29</f>
        <v>-7000</v>
      </c>
    </row>
    <row r="585" spans="1:5" x14ac:dyDescent="0.25">
      <c r="A585">
        <f t="shared" si="9"/>
        <v>584</v>
      </c>
      <c r="C585">
        <v>0</v>
      </c>
      <c r="D585">
        <f>C585+'Excel Support'!$H$29</f>
        <v>7000</v>
      </c>
      <c r="E585">
        <f>C585-'Excel Support'!$H$29</f>
        <v>-7000</v>
      </c>
    </row>
    <row r="586" spans="1:5" x14ac:dyDescent="0.25">
      <c r="A586">
        <f t="shared" si="9"/>
        <v>585</v>
      </c>
      <c r="C586">
        <v>0</v>
      </c>
      <c r="D586">
        <f>C586+'Excel Support'!$H$29</f>
        <v>7000</v>
      </c>
      <c r="E586">
        <f>C586-'Excel Support'!$H$29</f>
        <v>-7000</v>
      </c>
    </row>
    <row r="587" spans="1:5" x14ac:dyDescent="0.25">
      <c r="A587">
        <f t="shared" si="9"/>
        <v>586</v>
      </c>
      <c r="C587">
        <v>0</v>
      </c>
      <c r="D587">
        <f>C587+'Excel Support'!$H$29</f>
        <v>7000</v>
      </c>
      <c r="E587">
        <f>C587-'Excel Support'!$H$29</f>
        <v>-7000</v>
      </c>
    </row>
    <row r="588" spans="1:5" x14ac:dyDescent="0.25">
      <c r="A588">
        <f t="shared" si="9"/>
        <v>587</v>
      </c>
      <c r="C588">
        <v>0</v>
      </c>
      <c r="D588">
        <f>C588+'Excel Support'!$H$29</f>
        <v>7000</v>
      </c>
      <c r="E588">
        <f>C588-'Excel Support'!$H$29</f>
        <v>-7000</v>
      </c>
    </row>
    <row r="589" spans="1:5" x14ac:dyDescent="0.25">
      <c r="A589">
        <f t="shared" si="9"/>
        <v>588</v>
      </c>
      <c r="C589">
        <v>0</v>
      </c>
      <c r="D589">
        <f>C589+'Excel Support'!$H$29</f>
        <v>7000</v>
      </c>
      <c r="E589">
        <f>C589-'Excel Support'!$H$29</f>
        <v>-7000</v>
      </c>
    </row>
    <row r="590" spans="1:5" x14ac:dyDescent="0.25">
      <c r="A590">
        <f t="shared" si="9"/>
        <v>589</v>
      </c>
      <c r="C590">
        <v>0</v>
      </c>
      <c r="D590">
        <f>C590+'Excel Support'!$H$29</f>
        <v>7000</v>
      </c>
      <c r="E590">
        <f>C590-'Excel Support'!$H$29</f>
        <v>-7000</v>
      </c>
    </row>
    <row r="591" spans="1:5" x14ac:dyDescent="0.25">
      <c r="A591">
        <f t="shared" si="9"/>
        <v>590</v>
      </c>
      <c r="C591">
        <v>0</v>
      </c>
      <c r="D591">
        <f>C591+'Excel Support'!$H$29</f>
        <v>7000</v>
      </c>
      <c r="E591">
        <f>C591-'Excel Support'!$H$29</f>
        <v>-7000</v>
      </c>
    </row>
    <row r="592" spans="1:5" x14ac:dyDescent="0.25">
      <c r="A592">
        <f t="shared" si="9"/>
        <v>591</v>
      </c>
      <c r="C592">
        <v>0</v>
      </c>
      <c r="D592">
        <f>C592+'Excel Support'!$H$29</f>
        <v>7000</v>
      </c>
      <c r="E592">
        <f>C592-'Excel Support'!$H$29</f>
        <v>-7000</v>
      </c>
    </row>
    <row r="593" spans="1:5" x14ac:dyDescent="0.25">
      <c r="A593">
        <f t="shared" si="9"/>
        <v>592</v>
      </c>
      <c r="C593">
        <v>0</v>
      </c>
      <c r="D593">
        <f>C593+'Excel Support'!$H$29</f>
        <v>7000</v>
      </c>
      <c r="E593">
        <f>C593-'Excel Support'!$H$29</f>
        <v>-7000</v>
      </c>
    </row>
    <row r="594" spans="1:5" x14ac:dyDescent="0.25">
      <c r="A594">
        <f t="shared" si="9"/>
        <v>593</v>
      </c>
      <c r="C594">
        <v>0</v>
      </c>
      <c r="D594">
        <f>C594+'Excel Support'!$H$29</f>
        <v>7000</v>
      </c>
      <c r="E594">
        <f>C594-'Excel Support'!$H$29</f>
        <v>-7000</v>
      </c>
    </row>
    <row r="595" spans="1:5" x14ac:dyDescent="0.25">
      <c r="A595">
        <f t="shared" si="9"/>
        <v>594</v>
      </c>
      <c r="C595">
        <v>0</v>
      </c>
      <c r="D595">
        <f>C595+'Excel Support'!$H$29</f>
        <v>7000</v>
      </c>
      <c r="E595">
        <f>C595-'Excel Support'!$H$29</f>
        <v>-7000</v>
      </c>
    </row>
    <row r="596" spans="1:5" x14ac:dyDescent="0.25">
      <c r="A596">
        <f t="shared" si="9"/>
        <v>595</v>
      </c>
      <c r="C596">
        <v>0</v>
      </c>
      <c r="D596">
        <f>C596+'Excel Support'!$H$29</f>
        <v>7000</v>
      </c>
      <c r="E596">
        <f>C596-'Excel Support'!$H$29</f>
        <v>-7000</v>
      </c>
    </row>
    <row r="597" spans="1:5" x14ac:dyDescent="0.25">
      <c r="A597">
        <f t="shared" si="9"/>
        <v>596</v>
      </c>
      <c r="C597">
        <v>0</v>
      </c>
      <c r="D597">
        <f>C597+'Excel Support'!$H$29</f>
        <v>7000</v>
      </c>
      <c r="E597">
        <f>C597-'Excel Support'!$H$29</f>
        <v>-7000</v>
      </c>
    </row>
    <row r="598" spans="1:5" x14ac:dyDescent="0.25">
      <c r="A598">
        <f t="shared" si="9"/>
        <v>597</v>
      </c>
      <c r="C598">
        <v>0</v>
      </c>
      <c r="D598">
        <f>C598+'Excel Support'!$H$29</f>
        <v>7000</v>
      </c>
      <c r="E598">
        <f>C598-'Excel Support'!$H$29</f>
        <v>-7000</v>
      </c>
    </row>
    <row r="599" spans="1:5" x14ac:dyDescent="0.25">
      <c r="A599">
        <f t="shared" si="9"/>
        <v>598</v>
      </c>
      <c r="C599">
        <v>0</v>
      </c>
      <c r="D599">
        <f>C599+'Excel Support'!$H$29</f>
        <v>7000</v>
      </c>
      <c r="E599">
        <f>C599-'Excel Support'!$H$29</f>
        <v>-7000</v>
      </c>
    </row>
    <row r="600" spans="1:5" x14ac:dyDescent="0.25">
      <c r="A600">
        <f t="shared" si="9"/>
        <v>599</v>
      </c>
      <c r="C600">
        <v>0</v>
      </c>
      <c r="D600">
        <f>C600+'Excel Support'!$H$29</f>
        <v>7000</v>
      </c>
      <c r="E600">
        <f>C600-'Excel Support'!$H$29</f>
        <v>-7000</v>
      </c>
    </row>
    <row r="601" spans="1:5" x14ac:dyDescent="0.25">
      <c r="A601">
        <f t="shared" ref="A601" si="10">A600+1</f>
        <v>600</v>
      </c>
      <c r="C601">
        <v>0</v>
      </c>
      <c r="D601">
        <f>C601+'Excel Support'!$H$29</f>
        <v>7000</v>
      </c>
      <c r="E601">
        <f>C601-'Excel Support'!$H$29</f>
        <v>-7000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Excel Support</vt:lpstr>
      <vt:lpstr>Chart Data</vt:lpstr>
      <vt:lpstr>Beginning_of_case</vt:lpstr>
      <vt:lpstr>chart_check</vt:lpstr>
      <vt:lpstr>chart_reset</vt:lpstr>
      <vt:lpstr>chartdata</vt:lpstr>
      <vt:lpstr>currenttick</vt:lpstr>
      <vt:lpstr>Portfolio_Delta</vt:lpstr>
      <vt:lpstr>RiskFree</vt:lpstr>
      <vt:lpstr>StockPrice</vt:lpstr>
      <vt:lpstr>Time_to_Maturity</vt:lpstr>
      <vt:lpstr>Volatility</vt:lpstr>
    </vt:vector>
  </TitlesOfParts>
  <Company>Rotman School of Management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Marco Salerno</cp:lastModifiedBy>
  <dcterms:created xsi:type="dcterms:W3CDTF">2015-08-04T16:57:50Z</dcterms:created>
  <dcterms:modified xsi:type="dcterms:W3CDTF">2016-04-19T16:22:40Z</dcterms:modified>
</cp:coreProperties>
</file>