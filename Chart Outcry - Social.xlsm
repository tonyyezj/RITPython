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Q:\Finlabadmin\RITC 2017\Cases\Quant\5-Charts\Chart File\Social\"/>
    </mc:Choice>
  </mc:AlternateContent>
  <bookViews>
    <workbookView xWindow="0" yWindow="0" windowWidth="28800" windowHeight="13020" activeTab="2"/>
  </bookViews>
  <sheets>
    <sheet name="Chart" sheetId="1" r:id="rId1"/>
    <sheet name="News" sheetId="2" r:id="rId2"/>
    <sheet name="Combined" sheetId="3" r:id="rId3"/>
  </sheets>
  <functionGroups builtInGroupCount="18"/>
  <definedNames>
    <definedName name="CIQWBGuid" hidden="1">"35f4493c-bab9-4925-bfd8-1bc31789f052"</definedName>
    <definedName name="mmss">Chart!$S$4</definedName>
    <definedName name="Timeremaining">Chart!$B$4</definedName>
  </definedName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1" l="1"/>
  <c r="B4" i="1"/>
  <c r="B5" i="1"/>
  <c r="C4" i="1"/>
  <c r="B8" i="1"/>
  <c r="B9" i="1"/>
  <c r="C3" i="2"/>
  <c r="O3" i="2" a="1"/>
  <c r="P3" i="2"/>
  <c r="E3" i="2"/>
  <c r="I3" i="2"/>
  <c r="J3" i="2"/>
  <c r="K3" i="2"/>
  <c r="L3" i="2"/>
  <c r="M3" i="2"/>
  <c r="N3" i="2"/>
  <c r="G3" i="2"/>
  <c r="C5" i="3"/>
  <c r="C8" i="1"/>
  <c r="B14" i="1"/>
  <c r="C28" i="1"/>
  <c r="C38" i="1"/>
  <c r="C48" i="1"/>
  <c r="C58" i="1"/>
  <c r="C68" i="1"/>
  <c r="C78" i="1"/>
  <c r="C88" i="1"/>
  <c r="C98" i="1"/>
  <c r="C108" i="1"/>
  <c r="C118" i="1"/>
  <c r="C128" i="1"/>
  <c r="C138" i="1"/>
  <c r="C148" i="1"/>
  <c r="C158" i="1"/>
  <c r="C168" i="1"/>
  <c r="C178" i="1"/>
  <c r="C188" i="1"/>
  <c r="C198" i="1"/>
  <c r="C208" i="1"/>
  <c r="C218" i="1"/>
  <c r="C228" i="1"/>
  <c r="C238" i="1"/>
  <c r="C248" i="1"/>
  <c r="C258" i="1"/>
  <c r="C268" i="1"/>
  <c r="C278" i="1"/>
  <c r="C288" i="1"/>
  <c r="C298" i="1"/>
  <c r="C308" i="1"/>
  <c r="C318" i="1"/>
  <c r="C328" i="1"/>
  <c r="C338" i="1"/>
  <c r="C348" i="1"/>
  <c r="C358" i="1"/>
  <c r="C368" i="1"/>
  <c r="C378" i="1"/>
  <c r="C388" i="1"/>
  <c r="C398" i="1"/>
  <c r="C408" i="1"/>
  <c r="C418" i="1"/>
  <c r="C428" i="1"/>
  <c r="C438" i="1"/>
  <c r="C448" i="1"/>
  <c r="C458" i="1"/>
  <c r="C27" i="1"/>
  <c r="C37" i="1"/>
  <c r="C47" i="1"/>
  <c r="C57" i="1"/>
  <c r="C67" i="1"/>
  <c r="C77" i="1"/>
  <c r="C87" i="1"/>
  <c r="C97" i="1"/>
  <c r="C107" i="1"/>
  <c r="C117" i="1"/>
  <c r="C127" i="1"/>
  <c r="C137" i="1"/>
  <c r="C147" i="1"/>
  <c r="C157" i="1"/>
  <c r="C167" i="1"/>
  <c r="C177" i="1"/>
  <c r="C187" i="1"/>
  <c r="C197" i="1"/>
  <c r="C207" i="1"/>
  <c r="C217" i="1"/>
  <c r="C227" i="1"/>
  <c r="C237" i="1"/>
  <c r="C247" i="1"/>
  <c r="C257" i="1"/>
  <c r="C267" i="1"/>
  <c r="C277" i="1"/>
  <c r="C287" i="1"/>
  <c r="C297" i="1"/>
  <c r="C307" i="1"/>
  <c r="C317" i="1"/>
  <c r="C327" i="1"/>
  <c r="C337" i="1"/>
  <c r="C347" i="1"/>
  <c r="C357" i="1"/>
  <c r="C367" i="1"/>
  <c r="C377" i="1"/>
  <c r="C387" i="1"/>
  <c r="C397" i="1"/>
  <c r="C407" i="1"/>
  <c r="C417" i="1"/>
  <c r="C427" i="1"/>
  <c r="C437" i="1"/>
  <c r="C447" i="1"/>
  <c r="C457" i="1"/>
  <c r="C33" i="1"/>
  <c r="C43" i="1"/>
  <c r="C53" i="1"/>
  <c r="C63" i="1"/>
  <c r="C73" i="1"/>
  <c r="C83" i="1"/>
  <c r="C93" i="1"/>
  <c r="C103" i="1"/>
  <c r="C113" i="1"/>
  <c r="C123" i="1"/>
  <c r="C133" i="1"/>
  <c r="C143" i="1"/>
  <c r="C153" i="1"/>
  <c r="C163" i="1"/>
  <c r="C173" i="1"/>
  <c r="C183" i="1"/>
  <c r="C193" i="1"/>
  <c r="C203" i="1"/>
  <c r="C213" i="1"/>
  <c r="C223" i="1"/>
  <c r="C233" i="1"/>
  <c r="C243" i="1"/>
  <c r="C253" i="1"/>
  <c r="C263" i="1"/>
  <c r="C273" i="1"/>
  <c r="C283" i="1"/>
  <c r="C293" i="1"/>
  <c r="C303" i="1"/>
  <c r="C313" i="1"/>
  <c r="C323" i="1"/>
  <c r="C333" i="1"/>
  <c r="C343" i="1"/>
  <c r="C353" i="1"/>
  <c r="C363" i="1"/>
  <c r="C373" i="1"/>
  <c r="C383" i="1"/>
  <c r="C393" i="1"/>
  <c r="C403" i="1"/>
  <c r="C413" i="1"/>
  <c r="C423" i="1"/>
  <c r="C433" i="1"/>
  <c r="C443" i="1"/>
  <c r="C453" i="1"/>
  <c r="C463" i="1"/>
  <c r="C32" i="1"/>
  <c r="C42" i="1"/>
  <c r="C52" i="1"/>
  <c r="C62" i="1"/>
  <c r="C72" i="1"/>
  <c r="C82" i="1"/>
  <c r="C92" i="1"/>
  <c r="C102" i="1"/>
  <c r="C112" i="1"/>
  <c r="C122" i="1"/>
  <c r="C132" i="1"/>
  <c r="C142" i="1"/>
  <c r="C152" i="1"/>
  <c r="C162" i="1"/>
  <c r="C172" i="1"/>
  <c r="C182" i="1"/>
  <c r="C192" i="1"/>
  <c r="C202" i="1"/>
  <c r="C212" i="1"/>
  <c r="C222" i="1"/>
  <c r="C232" i="1"/>
  <c r="C242" i="1"/>
  <c r="C252" i="1"/>
  <c r="C262" i="1"/>
  <c r="C272" i="1"/>
  <c r="C282" i="1"/>
  <c r="C292" i="1"/>
  <c r="C302" i="1"/>
  <c r="C312" i="1"/>
  <c r="C322" i="1"/>
  <c r="C332" i="1"/>
  <c r="C342" i="1"/>
  <c r="C352" i="1"/>
  <c r="C362" i="1"/>
  <c r="C372" i="1"/>
  <c r="C382" i="1"/>
  <c r="C392" i="1"/>
  <c r="C402" i="1"/>
  <c r="C412" i="1"/>
  <c r="C422" i="1"/>
  <c r="C432" i="1"/>
  <c r="C442" i="1"/>
  <c r="C452" i="1"/>
  <c r="C462" i="1"/>
  <c r="C31" i="1"/>
  <c r="C41" i="1"/>
  <c r="C51" i="1"/>
  <c r="C61" i="1"/>
  <c r="C71" i="1"/>
  <c r="C81" i="1"/>
  <c r="C91" i="1"/>
  <c r="C101" i="1"/>
  <c r="C111" i="1"/>
  <c r="C121" i="1"/>
  <c r="C131" i="1"/>
  <c r="C141" i="1"/>
  <c r="C151" i="1"/>
  <c r="C161" i="1"/>
  <c r="C171" i="1"/>
  <c r="C181" i="1"/>
  <c r="C191" i="1"/>
  <c r="C201" i="1"/>
  <c r="C211" i="1"/>
  <c r="C221" i="1"/>
  <c r="C231" i="1"/>
  <c r="C241" i="1"/>
  <c r="C251" i="1"/>
  <c r="C261" i="1"/>
  <c r="C271" i="1"/>
  <c r="C281" i="1"/>
  <c r="C291" i="1"/>
  <c r="C301" i="1"/>
  <c r="C311" i="1"/>
  <c r="C321" i="1"/>
  <c r="C331" i="1"/>
  <c r="C341" i="1"/>
  <c r="C351" i="1"/>
  <c r="C361" i="1"/>
  <c r="C371" i="1"/>
  <c r="C381" i="1"/>
  <c r="C391" i="1"/>
  <c r="C401" i="1"/>
  <c r="C411" i="1"/>
  <c r="C421" i="1"/>
  <c r="C431" i="1"/>
  <c r="C441" i="1"/>
  <c r="C451" i="1"/>
  <c r="C461" i="1"/>
  <c r="C30" i="1"/>
  <c r="C40" i="1"/>
  <c r="C50" i="1"/>
  <c r="C60" i="1"/>
  <c r="C70" i="1"/>
  <c r="C80" i="1"/>
  <c r="C90" i="1"/>
  <c r="C100" i="1"/>
  <c r="C110" i="1"/>
  <c r="C120" i="1"/>
  <c r="C130" i="1"/>
  <c r="C140" i="1"/>
  <c r="C150" i="1"/>
  <c r="C160" i="1"/>
  <c r="C170" i="1"/>
  <c r="C180" i="1"/>
  <c r="C190" i="1"/>
  <c r="C200" i="1"/>
  <c r="C210" i="1"/>
  <c r="C220" i="1"/>
  <c r="C230" i="1"/>
  <c r="C240" i="1"/>
  <c r="C250" i="1"/>
  <c r="C260" i="1"/>
  <c r="C270" i="1"/>
  <c r="C280" i="1"/>
  <c r="C290" i="1"/>
  <c r="C300" i="1"/>
  <c r="C310" i="1"/>
  <c r="C320" i="1"/>
  <c r="C330" i="1"/>
  <c r="C340" i="1"/>
  <c r="C350" i="1"/>
  <c r="C360" i="1"/>
  <c r="C370" i="1"/>
  <c r="C380" i="1"/>
  <c r="C390" i="1"/>
  <c r="C400" i="1"/>
  <c r="C410" i="1"/>
  <c r="C420" i="1"/>
  <c r="C430" i="1"/>
  <c r="C440" i="1"/>
  <c r="C450" i="1"/>
  <c r="C460" i="1"/>
  <c r="C29" i="1"/>
  <c r="C39" i="1"/>
  <c r="C49" i="1"/>
  <c r="C59" i="1"/>
  <c r="C69" i="1"/>
  <c r="C79" i="1"/>
  <c r="C89" i="1"/>
  <c r="C99" i="1"/>
  <c r="C109" i="1"/>
  <c r="C119" i="1"/>
  <c r="C129" i="1"/>
  <c r="C139" i="1"/>
  <c r="C149" i="1"/>
  <c r="C159" i="1"/>
  <c r="C169" i="1"/>
  <c r="C179" i="1"/>
  <c r="C189" i="1"/>
  <c r="C199" i="1"/>
  <c r="C209" i="1"/>
  <c r="C219" i="1"/>
  <c r="C229" i="1"/>
  <c r="C239" i="1"/>
  <c r="C249" i="1"/>
  <c r="C259" i="1"/>
  <c r="C269" i="1"/>
  <c r="C279" i="1"/>
  <c r="C289" i="1"/>
  <c r="C299" i="1"/>
  <c r="C309" i="1"/>
  <c r="C319" i="1"/>
  <c r="C329" i="1"/>
  <c r="C339" i="1"/>
  <c r="C349" i="1"/>
  <c r="C359" i="1"/>
  <c r="C369" i="1"/>
  <c r="C379" i="1"/>
  <c r="C389" i="1"/>
  <c r="C399" i="1"/>
  <c r="C409" i="1"/>
  <c r="C419" i="1"/>
  <c r="C429" i="1"/>
  <c r="C439" i="1"/>
  <c r="C449" i="1"/>
  <c r="C459" i="1"/>
  <c r="C26" i="1"/>
  <c r="C36" i="1"/>
  <c r="C46" i="1"/>
  <c r="C56" i="1"/>
  <c r="C66" i="1"/>
  <c r="C76" i="1"/>
  <c r="C86" i="1"/>
  <c r="C96" i="1"/>
  <c r="C106" i="1"/>
  <c r="C116" i="1"/>
  <c r="C126" i="1"/>
  <c r="C136" i="1"/>
  <c r="C146" i="1"/>
  <c r="C156" i="1"/>
  <c r="C166" i="1"/>
  <c r="C176" i="1"/>
  <c r="C186" i="1"/>
  <c r="C196" i="1"/>
  <c r="C206" i="1"/>
  <c r="C216" i="1"/>
  <c r="C226" i="1"/>
  <c r="C236" i="1"/>
  <c r="C246" i="1"/>
  <c r="C256" i="1"/>
  <c r="C266" i="1"/>
  <c r="C276" i="1"/>
  <c r="C286" i="1"/>
  <c r="C296" i="1"/>
  <c r="C306" i="1"/>
  <c r="C316" i="1"/>
  <c r="C326" i="1"/>
  <c r="C336" i="1"/>
  <c r="C346" i="1"/>
  <c r="C356" i="1"/>
  <c r="C366" i="1"/>
  <c r="C376" i="1"/>
  <c r="C386" i="1"/>
  <c r="C396" i="1"/>
  <c r="C406" i="1"/>
  <c r="C416" i="1"/>
  <c r="C426" i="1"/>
  <c r="C436" i="1"/>
  <c r="C446" i="1"/>
  <c r="C456" i="1"/>
  <c r="C25" i="1"/>
  <c r="C35" i="1"/>
  <c r="C45" i="1"/>
  <c r="C55" i="1"/>
  <c r="C65" i="1"/>
  <c r="C75" i="1"/>
  <c r="C85" i="1"/>
  <c r="C95" i="1"/>
  <c r="C105" i="1"/>
  <c r="C115" i="1"/>
  <c r="C125" i="1"/>
  <c r="C135" i="1"/>
  <c r="C145" i="1"/>
  <c r="C155" i="1"/>
  <c r="C165" i="1"/>
  <c r="C175" i="1"/>
  <c r="C185" i="1"/>
  <c r="C195" i="1"/>
  <c r="C205" i="1"/>
  <c r="C215" i="1"/>
  <c r="C225" i="1"/>
  <c r="C235" i="1"/>
  <c r="C245" i="1"/>
  <c r="C255" i="1"/>
  <c r="C265" i="1"/>
  <c r="C275" i="1"/>
  <c r="C285" i="1"/>
  <c r="C295" i="1"/>
  <c r="C305" i="1"/>
  <c r="C315" i="1"/>
  <c r="C325" i="1"/>
  <c r="C335" i="1"/>
  <c r="C345" i="1"/>
  <c r="C355" i="1"/>
  <c r="C365" i="1"/>
  <c r="C375" i="1"/>
  <c r="C385" i="1"/>
  <c r="C395" i="1"/>
  <c r="C405" i="1"/>
  <c r="C415" i="1"/>
  <c r="C425" i="1"/>
  <c r="C435" i="1"/>
  <c r="C445" i="1"/>
  <c r="C455" i="1"/>
  <c r="C24" i="1"/>
  <c r="C34" i="1"/>
  <c r="C44" i="1"/>
  <c r="C54" i="1"/>
  <c r="C64" i="1"/>
  <c r="C74" i="1"/>
  <c r="C84" i="1"/>
  <c r="C94" i="1"/>
  <c r="C104" i="1"/>
  <c r="C114" i="1"/>
  <c r="C124" i="1"/>
  <c r="C134" i="1"/>
  <c r="C144" i="1"/>
  <c r="C154" i="1"/>
  <c r="C164" i="1"/>
  <c r="C174" i="1"/>
  <c r="C184" i="1"/>
  <c r="C194" i="1"/>
  <c r="C204" i="1"/>
  <c r="C214" i="1"/>
  <c r="C224" i="1"/>
  <c r="C234" i="1"/>
  <c r="C244" i="1"/>
  <c r="C254" i="1"/>
  <c r="C264" i="1"/>
  <c r="C274" i="1"/>
  <c r="C284" i="1"/>
  <c r="C294" i="1"/>
  <c r="C304" i="1"/>
  <c r="C314" i="1"/>
  <c r="C324" i="1"/>
  <c r="C334" i="1"/>
  <c r="C344" i="1"/>
  <c r="C354" i="1"/>
  <c r="C364" i="1"/>
  <c r="C374" i="1"/>
  <c r="C384" i="1"/>
  <c r="C394" i="1"/>
  <c r="C404" i="1"/>
  <c r="C414" i="1"/>
  <c r="C424" i="1"/>
  <c r="C434" i="1"/>
  <c r="C444" i="1"/>
  <c r="C454" i="1"/>
  <c r="I3" i="1"/>
  <c r="I4" i="1"/>
  <c r="I5" i="1"/>
  <c r="I6" i="1"/>
  <c r="I7" i="1"/>
  <c r="A15" i="1"/>
  <c r="E7" i="1"/>
  <c r="A16" i="1"/>
  <c r="I8" i="1"/>
  <c r="I9" i="1"/>
  <c r="I10" i="1"/>
  <c r="I11" i="1"/>
  <c r="I12" i="1"/>
  <c r="I13" i="1"/>
  <c r="I14" i="1"/>
  <c r="I15" i="1"/>
  <c r="I16" i="1"/>
  <c r="I17" i="1"/>
  <c r="I18" i="1"/>
  <c r="I19" i="1"/>
  <c r="I20" i="1"/>
  <c r="P4" i="1"/>
  <c r="Q4" i="1"/>
  <c r="B6" i="1"/>
  <c r="B3" i="1"/>
  <c r="B15" i="1"/>
  <c r="C4" i="2"/>
  <c r="C5" i="2"/>
  <c r="C2" i="2"/>
  <c r="I21" i="1"/>
  <c r="A17" i="1"/>
  <c r="I4" i="2"/>
  <c r="J4" i="2"/>
  <c r="K4" i="2"/>
  <c r="L4" i="2"/>
  <c r="M4" i="2"/>
  <c r="I5" i="2"/>
  <c r="J5" i="2"/>
  <c r="K5" i="2"/>
  <c r="L5" i="2"/>
  <c r="M5" i="2"/>
  <c r="I2" i="2"/>
  <c r="J2" i="2"/>
  <c r="K2" i="2"/>
  <c r="L2" i="2"/>
  <c r="M2" i="2"/>
  <c r="N2" i="2"/>
  <c r="R4" i="1"/>
  <c r="D14" i="1"/>
  <c r="J2" i="1"/>
  <c r="O2" i="2" a="1"/>
  <c r="O4" i="2" a="1"/>
  <c r="B16" i="1"/>
  <c r="O5" i="2" a="1"/>
  <c r="A18" i="1"/>
  <c r="I22" i="1"/>
  <c r="P2" i="2"/>
  <c r="E2" i="2"/>
  <c r="G2" i="2"/>
  <c r="R2" i="2"/>
  <c r="Q2" i="2"/>
  <c r="O2" i="2"/>
  <c r="D2" i="2"/>
  <c r="O4" i="2"/>
  <c r="D4" i="2"/>
  <c r="Q4" i="2"/>
  <c r="P4" i="2"/>
  <c r="E4" i="2"/>
  <c r="R4" i="2"/>
  <c r="Q5" i="2"/>
  <c r="R5" i="2"/>
  <c r="P5" i="2"/>
  <c r="E5" i="2"/>
  <c r="O5" i="2"/>
  <c r="D5" i="2"/>
  <c r="O3" i="2"/>
  <c r="D3" i="2"/>
  <c r="Q3" i="2"/>
  <c r="R3" i="2"/>
  <c r="N5" i="2"/>
  <c r="N4" i="2"/>
  <c r="J1" i="2"/>
  <c r="K1" i="2"/>
  <c r="S4" i="1"/>
  <c r="T4" i="1"/>
  <c r="B17" i="1"/>
  <c r="G5" i="2"/>
  <c r="G4" i="2"/>
  <c r="C3" i="3"/>
  <c r="I23" i="1"/>
  <c r="A19" i="1"/>
  <c r="B18" i="1"/>
  <c r="A20" i="1"/>
  <c r="I24" i="1"/>
  <c r="B19" i="1"/>
  <c r="I25" i="1"/>
  <c r="A21" i="1"/>
  <c r="B20" i="1"/>
  <c r="A22" i="1"/>
  <c r="I26" i="1"/>
  <c r="B21" i="1"/>
  <c r="I27" i="1"/>
  <c r="A23" i="1"/>
  <c r="B22" i="1"/>
  <c r="I28" i="1"/>
  <c r="A24" i="1"/>
  <c r="B23" i="1"/>
  <c r="F14" i="1"/>
  <c r="L2" i="1"/>
  <c r="E14" i="1"/>
  <c r="K2" i="1"/>
  <c r="I29" i="1"/>
  <c r="A25" i="1"/>
  <c r="B24" i="1"/>
  <c r="G14" i="1"/>
  <c r="M2" i="1"/>
  <c r="D24" i="1"/>
  <c r="J3" i="1"/>
  <c r="A26" i="1"/>
  <c r="I30" i="1"/>
  <c r="B25" i="1"/>
  <c r="I31" i="1"/>
  <c r="A27" i="1"/>
  <c r="B26" i="1"/>
  <c r="I32" i="1"/>
  <c r="A28" i="1"/>
  <c r="B27" i="1"/>
  <c r="I33" i="1"/>
  <c r="A29" i="1"/>
  <c r="B28" i="1"/>
  <c r="I34" i="1"/>
  <c r="A30" i="1"/>
  <c r="B29" i="1"/>
  <c r="I35" i="1"/>
  <c r="A31" i="1"/>
  <c r="B30" i="1"/>
  <c r="A32" i="1"/>
  <c r="I36" i="1"/>
  <c r="B31" i="1"/>
  <c r="I37" i="1"/>
  <c r="A33" i="1"/>
  <c r="B32" i="1"/>
  <c r="A34" i="1"/>
  <c r="I38" i="1"/>
  <c r="B33" i="1"/>
  <c r="F24" i="1"/>
  <c r="L3" i="1"/>
  <c r="E24" i="1"/>
  <c r="K3" i="1"/>
  <c r="I39" i="1"/>
  <c r="A35" i="1"/>
  <c r="B34" i="1"/>
  <c r="G24" i="1"/>
  <c r="M3" i="1"/>
  <c r="D34" i="1"/>
  <c r="J4" i="1"/>
  <c r="A36" i="1"/>
  <c r="I40" i="1"/>
  <c r="B35" i="1"/>
  <c r="A37" i="1"/>
  <c r="I41" i="1"/>
  <c r="B36" i="1"/>
  <c r="I42" i="1"/>
  <c r="A38" i="1"/>
  <c r="B37" i="1"/>
  <c r="A39" i="1"/>
  <c r="I43" i="1"/>
  <c r="B38" i="1"/>
  <c r="I44" i="1"/>
  <c r="A40" i="1"/>
  <c r="B39" i="1"/>
  <c r="A41" i="1"/>
  <c r="I45" i="1"/>
  <c r="B40" i="1"/>
  <c r="I46" i="1"/>
  <c r="A42" i="1"/>
  <c r="B41" i="1"/>
  <c r="A43" i="1"/>
  <c r="B42" i="1"/>
  <c r="A44" i="1"/>
  <c r="B43" i="1"/>
  <c r="F34" i="1"/>
  <c r="L4" i="1"/>
  <c r="E34" i="1"/>
  <c r="K4" i="1"/>
  <c r="A45" i="1"/>
  <c r="B44" i="1"/>
  <c r="G34" i="1"/>
  <c r="M4" i="1"/>
  <c r="D44" i="1"/>
  <c r="J5" i="1"/>
  <c r="A46" i="1"/>
  <c r="B45" i="1"/>
  <c r="A47" i="1"/>
  <c r="B46" i="1"/>
  <c r="A48" i="1"/>
  <c r="B47" i="1"/>
  <c r="A49" i="1"/>
  <c r="B48" i="1"/>
  <c r="A50" i="1"/>
  <c r="B49" i="1"/>
  <c r="A51" i="1"/>
  <c r="B50" i="1"/>
  <c r="A52" i="1"/>
  <c r="B51" i="1"/>
  <c r="A53" i="1"/>
  <c r="B52" i="1"/>
  <c r="A54" i="1"/>
  <c r="B53" i="1"/>
  <c r="F44" i="1"/>
  <c r="L5" i="1"/>
  <c r="E44" i="1"/>
  <c r="K5" i="1"/>
  <c r="A55" i="1"/>
  <c r="B54" i="1"/>
  <c r="G44" i="1"/>
  <c r="M5" i="1"/>
  <c r="D54" i="1"/>
  <c r="J6" i="1"/>
  <c r="A56" i="1"/>
  <c r="B55" i="1"/>
  <c r="A57" i="1"/>
  <c r="B56" i="1"/>
  <c r="A58" i="1"/>
  <c r="B57" i="1"/>
  <c r="A59" i="1"/>
  <c r="B58" i="1"/>
  <c r="A60" i="1"/>
  <c r="B59" i="1"/>
  <c r="A61" i="1"/>
  <c r="B60" i="1"/>
  <c r="A62" i="1"/>
  <c r="B61" i="1"/>
  <c r="A63" i="1"/>
  <c r="B62" i="1"/>
  <c r="A64" i="1"/>
  <c r="B63" i="1"/>
  <c r="F54" i="1"/>
  <c r="L6" i="1"/>
  <c r="E54" i="1"/>
  <c r="K6" i="1"/>
  <c r="A65" i="1"/>
  <c r="B64" i="1"/>
  <c r="G54" i="1"/>
  <c r="M6" i="1"/>
  <c r="D64" i="1"/>
  <c r="J7" i="1"/>
  <c r="A66" i="1"/>
  <c r="B65" i="1"/>
  <c r="A67" i="1"/>
  <c r="B66" i="1"/>
  <c r="A68" i="1"/>
  <c r="B67" i="1"/>
  <c r="A69" i="1"/>
  <c r="B68" i="1"/>
  <c r="A70" i="1"/>
  <c r="B69" i="1"/>
  <c r="A71" i="1"/>
  <c r="B70" i="1"/>
  <c r="A72" i="1"/>
  <c r="B71" i="1"/>
  <c r="A73" i="1"/>
  <c r="B72" i="1"/>
  <c r="A74" i="1"/>
  <c r="B73" i="1"/>
  <c r="F64" i="1"/>
  <c r="L7" i="1"/>
  <c r="E64" i="1"/>
  <c r="K7" i="1"/>
  <c r="A75" i="1"/>
  <c r="B74" i="1"/>
  <c r="G64" i="1"/>
  <c r="M7" i="1"/>
  <c r="D74" i="1"/>
  <c r="J8" i="1"/>
  <c r="A76" i="1"/>
  <c r="B75" i="1"/>
  <c r="A77" i="1"/>
  <c r="B76" i="1"/>
  <c r="A78" i="1"/>
  <c r="B77" i="1"/>
  <c r="A79" i="1"/>
  <c r="B78" i="1"/>
  <c r="A80" i="1"/>
  <c r="B79" i="1"/>
  <c r="A81" i="1"/>
  <c r="B80" i="1"/>
  <c r="A82" i="1"/>
  <c r="B81" i="1"/>
  <c r="A83" i="1"/>
  <c r="B82" i="1"/>
  <c r="A84" i="1"/>
  <c r="B83" i="1"/>
  <c r="F74" i="1"/>
  <c r="L8" i="1"/>
  <c r="E74" i="1"/>
  <c r="K8" i="1"/>
  <c r="A85" i="1"/>
  <c r="B84" i="1"/>
  <c r="G74" i="1"/>
  <c r="M8" i="1"/>
  <c r="D84" i="1"/>
  <c r="J9" i="1"/>
  <c r="A86" i="1"/>
  <c r="B85" i="1"/>
  <c r="A87" i="1"/>
  <c r="B86" i="1"/>
  <c r="A88" i="1"/>
  <c r="B87" i="1"/>
  <c r="A89" i="1"/>
  <c r="B88" i="1"/>
  <c r="A90" i="1"/>
  <c r="B89" i="1"/>
  <c r="A91" i="1"/>
  <c r="B90" i="1"/>
  <c r="A92" i="1"/>
  <c r="B91" i="1"/>
  <c r="A93" i="1"/>
  <c r="B92" i="1"/>
  <c r="A94" i="1"/>
  <c r="B93" i="1"/>
  <c r="F84" i="1"/>
  <c r="L9" i="1"/>
  <c r="E84" i="1"/>
  <c r="K9" i="1"/>
  <c r="A95" i="1"/>
  <c r="B94" i="1"/>
  <c r="G84" i="1"/>
  <c r="M9" i="1"/>
  <c r="D94" i="1"/>
  <c r="J10" i="1"/>
  <c r="A96" i="1"/>
  <c r="B95" i="1"/>
  <c r="A97" i="1"/>
  <c r="B96" i="1"/>
  <c r="A98" i="1"/>
  <c r="B97" i="1"/>
  <c r="A99" i="1"/>
  <c r="B98" i="1"/>
  <c r="A100" i="1"/>
  <c r="B99" i="1"/>
  <c r="A101" i="1"/>
  <c r="B100" i="1"/>
  <c r="A102" i="1"/>
  <c r="B101" i="1"/>
  <c r="A103" i="1"/>
  <c r="B102" i="1"/>
  <c r="A104" i="1"/>
  <c r="B103" i="1"/>
  <c r="F94" i="1"/>
  <c r="L10" i="1"/>
  <c r="E94" i="1"/>
  <c r="K10" i="1"/>
  <c r="A105" i="1"/>
  <c r="B104" i="1"/>
  <c r="G94" i="1"/>
  <c r="M10" i="1"/>
  <c r="D104" i="1"/>
  <c r="J11" i="1"/>
  <c r="A106" i="1"/>
  <c r="B105" i="1"/>
  <c r="A107" i="1"/>
  <c r="B106" i="1"/>
  <c r="A108" i="1"/>
  <c r="B107" i="1"/>
  <c r="A109" i="1"/>
  <c r="B108" i="1"/>
  <c r="A110" i="1"/>
  <c r="B109" i="1"/>
  <c r="A111" i="1"/>
  <c r="B110" i="1"/>
  <c r="A112" i="1"/>
  <c r="B111" i="1"/>
  <c r="A113" i="1"/>
  <c r="B112" i="1"/>
  <c r="A114" i="1"/>
  <c r="B113" i="1"/>
  <c r="F104" i="1"/>
  <c r="L11" i="1"/>
  <c r="E104" i="1"/>
  <c r="K11" i="1"/>
  <c r="A115" i="1"/>
  <c r="B114" i="1"/>
  <c r="G104" i="1"/>
  <c r="M11" i="1"/>
  <c r="D114" i="1"/>
  <c r="J12" i="1"/>
  <c r="A116" i="1"/>
  <c r="B115" i="1"/>
  <c r="A117" i="1"/>
  <c r="B116" i="1"/>
  <c r="A118" i="1"/>
  <c r="B117" i="1"/>
  <c r="A119" i="1"/>
  <c r="B118" i="1"/>
  <c r="A120" i="1"/>
  <c r="B119" i="1"/>
  <c r="A121" i="1"/>
  <c r="B120" i="1"/>
  <c r="A122" i="1"/>
  <c r="B121" i="1"/>
  <c r="A123" i="1"/>
  <c r="B122" i="1"/>
  <c r="A124" i="1"/>
  <c r="B123" i="1"/>
  <c r="F114" i="1"/>
  <c r="L12" i="1"/>
  <c r="E114" i="1"/>
  <c r="K12" i="1"/>
  <c r="A125" i="1"/>
  <c r="B124" i="1"/>
  <c r="G114" i="1"/>
  <c r="M12" i="1"/>
  <c r="D124" i="1"/>
  <c r="J13" i="1"/>
  <c r="A126" i="1"/>
  <c r="B125" i="1"/>
  <c r="A127" i="1"/>
  <c r="B126" i="1"/>
  <c r="A128" i="1"/>
  <c r="B127" i="1"/>
  <c r="A129" i="1"/>
  <c r="B128" i="1"/>
  <c r="A130" i="1"/>
  <c r="B129" i="1"/>
  <c r="A131" i="1"/>
  <c r="B130" i="1"/>
  <c r="A132" i="1"/>
  <c r="B131" i="1"/>
  <c r="A133" i="1"/>
  <c r="B132" i="1"/>
  <c r="A134" i="1"/>
  <c r="B133" i="1"/>
  <c r="F124" i="1"/>
  <c r="L13" i="1"/>
  <c r="E124" i="1"/>
  <c r="K13" i="1"/>
  <c r="A135" i="1"/>
  <c r="B134" i="1"/>
  <c r="G124" i="1"/>
  <c r="M13" i="1"/>
  <c r="D134" i="1"/>
  <c r="J14" i="1"/>
  <c r="A136" i="1"/>
  <c r="B135" i="1"/>
  <c r="A137" i="1"/>
  <c r="B136" i="1"/>
  <c r="A138" i="1"/>
  <c r="B137" i="1"/>
  <c r="A139" i="1"/>
  <c r="B138" i="1"/>
  <c r="A140" i="1"/>
  <c r="B139" i="1"/>
  <c r="A141" i="1"/>
  <c r="B140" i="1"/>
  <c r="A142" i="1"/>
  <c r="B141" i="1"/>
  <c r="A143" i="1"/>
  <c r="B142" i="1"/>
  <c r="A144" i="1"/>
  <c r="B143" i="1"/>
  <c r="F134" i="1"/>
  <c r="L14" i="1"/>
  <c r="E134" i="1"/>
  <c r="K14" i="1"/>
  <c r="A145" i="1"/>
  <c r="B144" i="1"/>
  <c r="G134" i="1"/>
  <c r="M14" i="1"/>
  <c r="D144" i="1"/>
  <c r="J15" i="1"/>
  <c r="A146" i="1"/>
  <c r="B145" i="1"/>
  <c r="A147" i="1"/>
  <c r="B146" i="1"/>
  <c r="A148" i="1"/>
  <c r="B147" i="1"/>
  <c r="A149" i="1"/>
  <c r="B148" i="1"/>
  <c r="A150" i="1"/>
  <c r="B149" i="1"/>
  <c r="A151" i="1"/>
  <c r="B150" i="1"/>
  <c r="A152" i="1"/>
  <c r="B151" i="1"/>
  <c r="A153" i="1"/>
  <c r="B152" i="1"/>
  <c r="A154" i="1"/>
  <c r="B153" i="1"/>
  <c r="F144" i="1"/>
  <c r="L15" i="1"/>
  <c r="E144" i="1"/>
  <c r="K15" i="1"/>
  <c r="A155" i="1"/>
  <c r="B154" i="1"/>
  <c r="G144" i="1"/>
  <c r="M15" i="1"/>
  <c r="D154" i="1"/>
  <c r="J16" i="1"/>
  <c r="A156" i="1"/>
  <c r="B155" i="1"/>
  <c r="A157" i="1"/>
  <c r="B156" i="1"/>
  <c r="A158" i="1"/>
  <c r="B157" i="1"/>
  <c r="A159" i="1"/>
  <c r="B158" i="1"/>
  <c r="A160" i="1"/>
  <c r="B159" i="1"/>
  <c r="A161" i="1"/>
  <c r="B160" i="1"/>
  <c r="A162" i="1"/>
  <c r="B161" i="1"/>
  <c r="A163" i="1"/>
  <c r="B162" i="1"/>
  <c r="A164" i="1"/>
  <c r="B163" i="1"/>
  <c r="F154" i="1"/>
  <c r="L16" i="1"/>
  <c r="E154" i="1"/>
  <c r="K16" i="1"/>
  <c r="A165" i="1"/>
  <c r="B164" i="1"/>
  <c r="G154" i="1"/>
  <c r="M16" i="1"/>
  <c r="D164" i="1"/>
  <c r="J17" i="1"/>
  <c r="A166" i="1"/>
  <c r="B165" i="1"/>
  <c r="A167" i="1"/>
  <c r="B166" i="1"/>
  <c r="A168" i="1"/>
  <c r="B167" i="1"/>
  <c r="A169" i="1"/>
  <c r="B168" i="1"/>
  <c r="A170" i="1"/>
  <c r="B169" i="1"/>
  <c r="A171" i="1"/>
  <c r="B170" i="1"/>
  <c r="A172" i="1"/>
  <c r="B171" i="1"/>
  <c r="A173" i="1"/>
  <c r="B172" i="1"/>
  <c r="A174" i="1"/>
  <c r="B173" i="1"/>
  <c r="F164" i="1"/>
  <c r="L17" i="1"/>
  <c r="E164" i="1"/>
  <c r="K17" i="1"/>
  <c r="A175" i="1"/>
  <c r="B174" i="1"/>
  <c r="G164" i="1"/>
  <c r="M17" i="1"/>
  <c r="D174" i="1"/>
  <c r="J18" i="1"/>
  <c r="A176" i="1"/>
  <c r="B175" i="1"/>
  <c r="A177" i="1"/>
  <c r="B176" i="1"/>
  <c r="A178" i="1"/>
  <c r="B177" i="1"/>
  <c r="A179" i="1"/>
  <c r="B178" i="1"/>
  <c r="A180" i="1"/>
  <c r="B179" i="1"/>
  <c r="A181" i="1"/>
  <c r="B180" i="1"/>
  <c r="A182" i="1"/>
  <c r="B181" i="1"/>
  <c r="A183" i="1"/>
  <c r="B182" i="1"/>
  <c r="A184" i="1"/>
  <c r="B183" i="1"/>
  <c r="F174" i="1"/>
  <c r="L18" i="1"/>
  <c r="E174" i="1"/>
  <c r="K18" i="1"/>
  <c r="A185" i="1"/>
  <c r="B184" i="1"/>
  <c r="G174" i="1"/>
  <c r="M18" i="1"/>
  <c r="D184" i="1"/>
  <c r="J19" i="1"/>
  <c r="A186" i="1"/>
  <c r="B185" i="1"/>
  <c r="A187" i="1"/>
  <c r="B186" i="1"/>
  <c r="A188" i="1"/>
  <c r="B187" i="1"/>
  <c r="A189" i="1"/>
  <c r="B188" i="1"/>
  <c r="A190" i="1"/>
  <c r="B189" i="1"/>
  <c r="A191" i="1"/>
  <c r="B190" i="1"/>
  <c r="A192" i="1"/>
  <c r="B191" i="1"/>
  <c r="A193" i="1"/>
  <c r="B192" i="1"/>
  <c r="A194" i="1"/>
  <c r="B193" i="1"/>
  <c r="F184" i="1"/>
  <c r="L19" i="1"/>
  <c r="E184" i="1"/>
  <c r="K19" i="1"/>
  <c r="A195" i="1"/>
  <c r="B194" i="1"/>
  <c r="G184" i="1"/>
  <c r="M19" i="1"/>
  <c r="D194" i="1"/>
  <c r="J20" i="1"/>
  <c r="A196" i="1"/>
  <c r="B195" i="1"/>
  <c r="A197" i="1"/>
  <c r="B196" i="1"/>
  <c r="A198" i="1"/>
  <c r="B197" i="1"/>
  <c r="A199" i="1"/>
  <c r="B198" i="1"/>
  <c r="A200" i="1"/>
  <c r="B199" i="1"/>
  <c r="A201" i="1"/>
  <c r="B200" i="1"/>
  <c r="A202" i="1"/>
  <c r="B201" i="1"/>
  <c r="A203" i="1"/>
  <c r="B202" i="1"/>
  <c r="A204" i="1"/>
  <c r="B203" i="1"/>
  <c r="F194" i="1"/>
  <c r="L20" i="1"/>
  <c r="E194" i="1"/>
  <c r="K20" i="1"/>
  <c r="A205" i="1"/>
  <c r="B204" i="1"/>
  <c r="G194" i="1"/>
  <c r="M20" i="1"/>
  <c r="D204" i="1"/>
  <c r="J21" i="1"/>
  <c r="A206" i="1"/>
  <c r="B205" i="1"/>
  <c r="A207" i="1"/>
  <c r="B206" i="1"/>
  <c r="A208" i="1"/>
  <c r="B207" i="1"/>
  <c r="A209" i="1"/>
  <c r="B208" i="1"/>
  <c r="A210" i="1"/>
  <c r="B209" i="1"/>
  <c r="A211" i="1"/>
  <c r="B210" i="1"/>
  <c r="A212" i="1"/>
  <c r="B211" i="1"/>
  <c r="A213" i="1"/>
  <c r="B212" i="1"/>
  <c r="A214" i="1"/>
  <c r="B213" i="1"/>
  <c r="F204" i="1"/>
  <c r="L21" i="1"/>
  <c r="E204" i="1"/>
  <c r="K21" i="1"/>
  <c r="A215" i="1"/>
  <c r="B214" i="1"/>
  <c r="G204" i="1"/>
  <c r="M21" i="1"/>
  <c r="D214" i="1"/>
  <c r="J22" i="1"/>
  <c r="A216" i="1"/>
  <c r="B215" i="1"/>
  <c r="A217" i="1"/>
  <c r="B216" i="1"/>
  <c r="A218" i="1"/>
  <c r="B217" i="1"/>
  <c r="A219" i="1"/>
  <c r="B218" i="1"/>
  <c r="A220" i="1"/>
  <c r="B219" i="1"/>
  <c r="A221" i="1"/>
  <c r="B220" i="1"/>
  <c r="A222" i="1"/>
  <c r="B221" i="1"/>
  <c r="A223" i="1"/>
  <c r="B222" i="1"/>
  <c r="A224" i="1"/>
  <c r="B223" i="1"/>
  <c r="F214" i="1"/>
  <c r="L22" i="1"/>
  <c r="E214" i="1"/>
  <c r="K22" i="1"/>
  <c r="A225" i="1"/>
  <c r="B224" i="1"/>
  <c r="G214" i="1"/>
  <c r="M22" i="1"/>
  <c r="D224" i="1"/>
  <c r="J23" i="1"/>
  <c r="A226" i="1"/>
  <c r="B225" i="1"/>
  <c r="A227" i="1"/>
  <c r="B226" i="1"/>
  <c r="A228" i="1"/>
  <c r="B227" i="1"/>
  <c r="A229" i="1"/>
  <c r="B228" i="1"/>
  <c r="A230" i="1"/>
  <c r="B229" i="1"/>
  <c r="A231" i="1"/>
  <c r="B230" i="1"/>
  <c r="A232" i="1"/>
  <c r="B231" i="1"/>
  <c r="A233" i="1"/>
  <c r="B232" i="1"/>
  <c r="A234" i="1"/>
  <c r="B233" i="1"/>
  <c r="F224" i="1"/>
  <c r="L23" i="1"/>
  <c r="E224" i="1"/>
  <c r="K23" i="1"/>
  <c r="A235" i="1"/>
  <c r="B234" i="1"/>
  <c r="G224" i="1"/>
  <c r="M23" i="1"/>
  <c r="D234" i="1"/>
  <c r="J24" i="1"/>
  <c r="A236" i="1"/>
  <c r="B235" i="1"/>
  <c r="A237" i="1"/>
  <c r="B236" i="1"/>
  <c r="A238" i="1"/>
  <c r="B237" i="1"/>
  <c r="A239" i="1"/>
  <c r="B238" i="1"/>
  <c r="A240" i="1"/>
  <c r="B239" i="1"/>
  <c r="A241" i="1"/>
  <c r="B240" i="1"/>
  <c r="A242" i="1"/>
  <c r="B241" i="1"/>
  <c r="A243" i="1"/>
  <c r="B242" i="1"/>
  <c r="A244" i="1"/>
  <c r="B243" i="1"/>
  <c r="F234" i="1"/>
  <c r="L24" i="1"/>
  <c r="E234" i="1"/>
  <c r="K24" i="1"/>
  <c r="A245" i="1"/>
  <c r="B244" i="1"/>
  <c r="G234" i="1"/>
  <c r="M24" i="1"/>
  <c r="D244" i="1"/>
  <c r="J25" i="1"/>
  <c r="A246" i="1"/>
  <c r="B245" i="1"/>
  <c r="A247" i="1"/>
  <c r="B246" i="1"/>
  <c r="A248" i="1"/>
  <c r="B247" i="1"/>
  <c r="A249" i="1"/>
  <c r="B248" i="1"/>
  <c r="A250" i="1"/>
  <c r="B249" i="1"/>
  <c r="A251" i="1"/>
  <c r="B250" i="1"/>
  <c r="A252" i="1"/>
  <c r="B251" i="1"/>
  <c r="A253" i="1"/>
  <c r="B252" i="1"/>
  <c r="A254" i="1"/>
  <c r="B253" i="1"/>
  <c r="F244" i="1"/>
  <c r="L25" i="1"/>
  <c r="E244" i="1"/>
  <c r="K25" i="1"/>
  <c r="A255" i="1"/>
  <c r="B254" i="1"/>
  <c r="G244" i="1"/>
  <c r="M25" i="1"/>
  <c r="D254" i="1"/>
  <c r="J26" i="1"/>
  <c r="A256" i="1"/>
  <c r="B255" i="1"/>
  <c r="A257" i="1"/>
  <c r="B256" i="1"/>
  <c r="A258" i="1"/>
  <c r="B257" i="1"/>
  <c r="A259" i="1"/>
  <c r="B258" i="1"/>
  <c r="A260" i="1"/>
  <c r="B259" i="1"/>
  <c r="A261" i="1"/>
  <c r="B260" i="1"/>
  <c r="A262" i="1"/>
  <c r="B261" i="1"/>
  <c r="A263" i="1"/>
  <c r="B262" i="1"/>
  <c r="A264" i="1"/>
  <c r="B263" i="1"/>
  <c r="F254" i="1"/>
  <c r="L26" i="1"/>
  <c r="E254" i="1"/>
  <c r="K26" i="1"/>
  <c r="A265" i="1"/>
  <c r="B264" i="1"/>
  <c r="G254" i="1"/>
  <c r="M26" i="1"/>
  <c r="D264" i="1"/>
  <c r="J27" i="1"/>
  <c r="A266" i="1"/>
  <c r="B265" i="1"/>
  <c r="A267" i="1"/>
  <c r="B266" i="1"/>
  <c r="A268" i="1"/>
  <c r="B267" i="1"/>
  <c r="A269" i="1"/>
  <c r="B268" i="1"/>
  <c r="A270" i="1"/>
  <c r="B269" i="1"/>
  <c r="A271" i="1"/>
  <c r="B270" i="1"/>
  <c r="A272" i="1"/>
  <c r="B271" i="1"/>
  <c r="A273" i="1"/>
  <c r="B272" i="1"/>
  <c r="A274" i="1"/>
  <c r="B273" i="1"/>
  <c r="F264" i="1"/>
  <c r="L27" i="1"/>
  <c r="E264" i="1"/>
  <c r="K27" i="1"/>
  <c r="A275" i="1"/>
  <c r="B274" i="1"/>
  <c r="G264" i="1"/>
  <c r="M27" i="1"/>
  <c r="D274" i="1"/>
  <c r="J28" i="1"/>
  <c r="A276" i="1"/>
  <c r="B275" i="1"/>
  <c r="A277" i="1"/>
  <c r="B276" i="1"/>
  <c r="A278" i="1"/>
  <c r="B277" i="1"/>
  <c r="A279" i="1"/>
  <c r="B278" i="1"/>
  <c r="A280" i="1"/>
  <c r="B279" i="1"/>
  <c r="A281" i="1"/>
  <c r="B280" i="1"/>
  <c r="A282" i="1"/>
  <c r="B281" i="1"/>
  <c r="A283" i="1"/>
  <c r="B282" i="1"/>
  <c r="A284" i="1"/>
  <c r="B283" i="1"/>
  <c r="F274" i="1"/>
  <c r="L28" i="1"/>
  <c r="E274" i="1"/>
  <c r="K28" i="1"/>
  <c r="A285" i="1"/>
  <c r="B284" i="1"/>
  <c r="G274" i="1"/>
  <c r="M28" i="1"/>
  <c r="D284" i="1"/>
  <c r="J29" i="1"/>
  <c r="A286" i="1"/>
  <c r="B285" i="1"/>
  <c r="A287" i="1"/>
  <c r="B286" i="1"/>
  <c r="A288" i="1"/>
  <c r="B287" i="1"/>
  <c r="A289" i="1"/>
  <c r="B288" i="1"/>
  <c r="A290" i="1"/>
  <c r="B289" i="1"/>
  <c r="A291" i="1"/>
  <c r="B290" i="1"/>
  <c r="A292" i="1"/>
  <c r="B291" i="1"/>
  <c r="A293" i="1"/>
  <c r="B292" i="1"/>
  <c r="A294" i="1"/>
  <c r="B293" i="1"/>
  <c r="F284" i="1"/>
  <c r="L29" i="1"/>
  <c r="E284" i="1"/>
  <c r="K29" i="1"/>
  <c r="A295" i="1"/>
  <c r="B294" i="1"/>
  <c r="G284" i="1"/>
  <c r="M29" i="1"/>
  <c r="D294" i="1"/>
  <c r="J30" i="1"/>
  <c r="A296" i="1"/>
  <c r="B295" i="1"/>
  <c r="A297" i="1"/>
  <c r="B296" i="1"/>
  <c r="A298" i="1"/>
  <c r="B297" i="1"/>
  <c r="A299" i="1"/>
  <c r="B298" i="1"/>
  <c r="A300" i="1"/>
  <c r="B299" i="1"/>
  <c r="A301" i="1"/>
  <c r="B300" i="1"/>
  <c r="A302" i="1"/>
  <c r="B301" i="1"/>
  <c r="A303" i="1"/>
  <c r="B302" i="1"/>
  <c r="A304" i="1"/>
  <c r="B303" i="1"/>
  <c r="F294" i="1"/>
  <c r="L30" i="1"/>
  <c r="E294" i="1"/>
  <c r="K30" i="1"/>
  <c r="A305" i="1"/>
  <c r="B304" i="1"/>
  <c r="G294" i="1"/>
  <c r="M30" i="1"/>
  <c r="D304" i="1"/>
  <c r="J31" i="1"/>
  <c r="A306" i="1"/>
  <c r="B305" i="1"/>
  <c r="A307" i="1"/>
  <c r="B306" i="1"/>
  <c r="A308" i="1"/>
  <c r="B307" i="1"/>
  <c r="A309" i="1"/>
  <c r="B308" i="1"/>
  <c r="A310" i="1"/>
  <c r="B309" i="1"/>
  <c r="A311" i="1"/>
  <c r="B310" i="1"/>
  <c r="A312" i="1"/>
  <c r="B311" i="1"/>
  <c r="A313" i="1"/>
  <c r="B312" i="1"/>
  <c r="A314" i="1"/>
  <c r="B313" i="1"/>
  <c r="F304" i="1"/>
  <c r="L31" i="1"/>
  <c r="E304" i="1"/>
  <c r="K31" i="1"/>
  <c r="A315" i="1"/>
  <c r="B314" i="1"/>
  <c r="G304" i="1"/>
  <c r="M31" i="1"/>
  <c r="D314" i="1"/>
  <c r="J32" i="1"/>
  <c r="A316" i="1"/>
  <c r="B315" i="1"/>
  <c r="A317" i="1"/>
  <c r="B316" i="1"/>
  <c r="A318" i="1"/>
  <c r="B317" i="1"/>
  <c r="A319" i="1"/>
  <c r="B318" i="1"/>
  <c r="A320" i="1"/>
  <c r="B319" i="1"/>
  <c r="A321" i="1"/>
  <c r="B320" i="1"/>
  <c r="A322" i="1"/>
  <c r="B321" i="1"/>
  <c r="A323" i="1"/>
  <c r="B322" i="1"/>
  <c r="A324" i="1"/>
  <c r="B323" i="1"/>
  <c r="F314" i="1"/>
  <c r="L32" i="1"/>
  <c r="E314" i="1"/>
  <c r="K32" i="1"/>
  <c r="A325" i="1"/>
  <c r="B324" i="1"/>
  <c r="G314" i="1"/>
  <c r="M32" i="1"/>
  <c r="D324" i="1"/>
  <c r="J33" i="1"/>
  <c r="A326" i="1"/>
  <c r="B325" i="1"/>
  <c r="A327" i="1"/>
  <c r="B326" i="1"/>
  <c r="A328" i="1"/>
  <c r="B327" i="1"/>
  <c r="A329" i="1"/>
  <c r="B328" i="1"/>
  <c r="A330" i="1"/>
  <c r="B329" i="1"/>
  <c r="A331" i="1"/>
  <c r="B330" i="1"/>
  <c r="A332" i="1"/>
  <c r="B331" i="1"/>
  <c r="A333" i="1"/>
  <c r="B332" i="1"/>
  <c r="A334" i="1"/>
  <c r="B333" i="1"/>
  <c r="F324" i="1"/>
  <c r="L33" i="1"/>
  <c r="E324" i="1"/>
  <c r="K33" i="1"/>
  <c r="A335" i="1"/>
  <c r="B334" i="1"/>
  <c r="G324" i="1"/>
  <c r="M33" i="1"/>
  <c r="D334" i="1"/>
  <c r="J34" i="1"/>
  <c r="A336" i="1"/>
  <c r="B335" i="1"/>
  <c r="A337" i="1"/>
  <c r="B336" i="1"/>
  <c r="A338" i="1"/>
  <c r="B337" i="1"/>
  <c r="A339" i="1"/>
  <c r="B338" i="1"/>
  <c r="A340" i="1"/>
  <c r="B339" i="1"/>
  <c r="A341" i="1"/>
  <c r="B340" i="1"/>
  <c r="A342" i="1"/>
  <c r="B341" i="1"/>
  <c r="A343" i="1"/>
  <c r="B342" i="1"/>
  <c r="A344" i="1"/>
  <c r="B343" i="1"/>
  <c r="F334" i="1"/>
  <c r="L34" i="1"/>
  <c r="E334" i="1"/>
  <c r="K34" i="1"/>
  <c r="A345" i="1"/>
  <c r="B344" i="1"/>
  <c r="G334" i="1"/>
  <c r="M34" i="1"/>
  <c r="D344" i="1"/>
  <c r="J35" i="1"/>
  <c r="A346" i="1"/>
  <c r="B345" i="1"/>
  <c r="A347" i="1"/>
  <c r="B346" i="1"/>
  <c r="A348" i="1"/>
  <c r="B347" i="1"/>
  <c r="A349" i="1"/>
  <c r="B348" i="1"/>
  <c r="A350" i="1"/>
  <c r="B349" i="1"/>
  <c r="A351" i="1"/>
  <c r="B350" i="1"/>
  <c r="A352" i="1"/>
  <c r="B351" i="1"/>
  <c r="A353" i="1"/>
  <c r="B352" i="1"/>
  <c r="A354" i="1"/>
  <c r="B353" i="1"/>
  <c r="F344" i="1"/>
  <c r="L35" i="1"/>
  <c r="E344" i="1"/>
  <c r="K35" i="1"/>
  <c r="A355" i="1"/>
  <c r="B354" i="1"/>
  <c r="G344" i="1"/>
  <c r="M35" i="1"/>
  <c r="D354" i="1"/>
  <c r="J36" i="1"/>
  <c r="A356" i="1"/>
  <c r="B355" i="1"/>
  <c r="A357" i="1"/>
  <c r="B356" i="1"/>
  <c r="A358" i="1"/>
  <c r="B357" i="1"/>
  <c r="A359" i="1"/>
  <c r="B358" i="1"/>
  <c r="A360" i="1"/>
  <c r="B359" i="1"/>
  <c r="A361" i="1"/>
  <c r="B360" i="1"/>
  <c r="A362" i="1"/>
  <c r="B361" i="1"/>
  <c r="A363" i="1"/>
  <c r="B362" i="1"/>
  <c r="A364" i="1"/>
  <c r="B363" i="1"/>
  <c r="F354" i="1"/>
  <c r="L36" i="1"/>
  <c r="E354" i="1"/>
  <c r="K36" i="1"/>
  <c r="A365" i="1"/>
  <c r="B364" i="1"/>
  <c r="G354" i="1"/>
  <c r="M36" i="1"/>
  <c r="D364" i="1"/>
  <c r="J37" i="1"/>
  <c r="A366" i="1"/>
  <c r="B365" i="1"/>
  <c r="A367" i="1"/>
  <c r="B366" i="1"/>
  <c r="A368" i="1"/>
  <c r="B367" i="1"/>
  <c r="A369" i="1"/>
  <c r="B368" i="1"/>
  <c r="A370" i="1"/>
  <c r="B369" i="1"/>
  <c r="A371" i="1"/>
  <c r="B370" i="1"/>
  <c r="A372" i="1"/>
  <c r="B371" i="1"/>
  <c r="A373" i="1"/>
  <c r="B372" i="1"/>
  <c r="A374" i="1"/>
  <c r="B373" i="1"/>
  <c r="F364" i="1"/>
  <c r="L37" i="1"/>
  <c r="E364" i="1"/>
  <c r="K37" i="1"/>
  <c r="A375" i="1"/>
  <c r="B374" i="1"/>
  <c r="G364" i="1"/>
  <c r="M37" i="1"/>
  <c r="D374" i="1"/>
  <c r="J38" i="1"/>
  <c r="A376" i="1"/>
  <c r="B375" i="1"/>
  <c r="A377" i="1"/>
  <c r="B376" i="1"/>
  <c r="A378" i="1"/>
  <c r="B377" i="1"/>
  <c r="A379" i="1"/>
  <c r="B378" i="1"/>
  <c r="A380" i="1"/>
  <c r="B379" i="1"/>
  <c r="A381" i="1"/>
  <c r="B380" i="1"/>
  <c r="A382" i="1"/>
  <c r="B381" i="1"/>
  <c r="A383" i="1"/>
  <c r="B382" i="1"/>
  <c r="A384" i="1"/>
  <c r="B383" i="1"/>
  <c r="F374" i="1"/>
  <c r="L38" i="1"/>
  <c r="E374" i="1"/>
  <c r="K38" i="1"/>
  <c r="A385" i="1"/>
  <c r="B384" i="1"/>
  <c r="G374" i="1"/>
  <c r="M38" i="1"/>
  <c r="D384" i="1"/>
  <c r="J39" i="1"/>
  <c r="A386" i="1"/>
  <c r="B385" i="1"/>
  <c r="A387" i="1"/>
  <c r="B386" i="1"/>
  <c r="A388" i="1"/>
  <c r="B387" i="1"/>
  <c r="A389" i="1"/>
  <c r="B388" i="1"/>
  <c r="A390" i="1"/>
  <c r="B389" i="1"/>
  <c r="A391" i="1"/>
  <c r="B390" i="1"/>
  <c r="A392" i="1"/>
  <c r="B391" i="1"/>
  <c r="A393" i="1"/>
  <c r="B392" i="1"/>
  <c r="A394" i="1"/>
  <c r="B393" i="1"/>
  <c r="F384" i="1"/>
  <c r="L39" i="1"/>
  <c r="E384" i="1"/>
  <c r="K39" i="1"/>
  <c r="A395" i="1"/>
  <c r="B394" i="1"/>
  <c r="G384" i="1"/>
  <c r="M39" i="1"/>
  <c r="D394" i="1"/>
  <c r="J40" i="1"/>
  <c r="A396" i="1"/>
  <c r="B395" i="1"/>
  <c r="A397" i="1"/>
  <c r="B396" i="1"/>
  <c r="A398" i="1"/>
  <c r="B397" i="1"/>
  <c r="A399" i="1"/>
  <c r="B398" i="1"/>
  <c r="A400" i="1"/>
  <c r="B399" i="1"/>
  <c r="A401" i="1"/>
  <c r="B400" i="1"/>
  <c r="A402" i="1"/>
  <c r="B401" i="1"/>
  <c r="A403" i="1"/>
  <c r="B402" i="1"/>
  <c r="A404" i="1"/>
  <c r="B403" i="1"/>
  <c r="F394" i="1"/>
  <c r="L40" i="1"/>
  <c r="E394" i="1"/>
  <c r="K40" i="1"/>
  <c r="A405" i="1"/>
  <c r="B404" i="1"/>
  <c r="G394" i="1"/>
  <c r="M40" i="1"/>
  <c r="D404" i="1"/>
  <c r="J41" i="1"/>
  <c r="A406" i="1"/>
  <c r="B405" i="1"/>
  <c r="A407" i="1"/>
  <c r="B406" i="1"/>
  <c r="A408" i="1"/>
  <c r="B407" i="1"/>
  <c r="A409" i="1"/>
  <c r="B408" i="1"/>
  <c r="A410" i="1"/>
  <c r="B409" i="1"/>
  <c r="A411" i="1"/>
  <c r="B410" i="1"/>
  <c r="A412" i="1"/>
  <c r="B411" i="1"/>
  <c r="A413" i="1"/>
  <c r="B412" i="1"/>
  <c r="A414" i="1"/>
  <c r="B413" i="1"/>
  <c r="F404" i="1"/>
  <c r="L41" i="1"/>
  <c r="E404" i="1"/>
  <c r="K41" i="1"/>
  <c r="A415" i="1"/>
  <c r="B414" i="1"/>
  <c r="G404" i="1"/>
  <c r="M41" i="1"/>
  <c r="D414" i="1"/>
  <c r="J42" i="1"/>
  <c r="A416" i="1"/>
  <c r="B415" i="1"/>
  <c r="A417" i="1"/>
  <c r="B416" i="1"/>
  <c r="A418" i="1"/>
  <c r="B417" i="1"/>
  <c r="A419" i="1"/>
  <c r="B418" i="1"/>
  <c r="A420" i="1"/>
  <c r="B419" i="1"/>
  <c r="A421" i="1"/>
  <c r="B420" i="1"/>
  <c r="A422" i="1"/>
  <c r="B421" i="1"/>
  <c r="A423" i="1"/>
  <c r="B422" i="1"/>
  <c r="A424" i="1"/>
  <c r="B423" i="1"/>
  <c r="F414" i="1"/>
  <c r="L42" i="1"/>
  <c r="E414" i="1"/>
  <c r="K42" i="1"/>
  <c r="A425" i="1"/>
  <c r="B424" i="1"/>
  <c r="G414" i="1"/>
  <c r="M42" i="1"/>
  <c r="D424" i="1"/>
  <c r="J43" i="1"/>
  <c r="A426" i="1"/>
  <c r="B425" i="1"/>
  <c r="A427" i="1"/>
  <c r="B426" i="1"/>
  <c r="A428" i="1"/>
  <c r="B427" i="1"/>
  <c r="A429" i="1"/>
  <c r="B428" i="1"/>
  <c r="A430" i="1"/>
  <c r="B429" i="1"/>
  <c r="A431" i="1"/>
  <c r="B430" i="1"/>
  <c r="A432" i="1"/>
  <c r="B431" i="1"/>
  <c r="A433" i="1"/>
  <c r="B432" i="1"/>
  <c r="A434" i="1"/>
  <c r="B433" i="1"/>
  <c r="F424" i="1"/>
  <c r="L43" i="1"/>
  <c r="E424" i="1"/>
  <c r="K43" i="1"/>
  <c r="A435" i="1"/>
  <c r="B434" i="1"/>
  <c r="G424" i="1"/>
  <c r="M43" i="1"/>
  <c r="D434" i="1"/>
  <c r="J44" i="1"/>
  <c r="A436" i="1"/>
  <c r="B435" i="1"/>
  <c r="A437" i="1"/>
  <c r="B436" i="1"/>
  <c r="A438" i="1"/>
  <c r="B437" i="1"/>
  <c r="A439" i="1"/>
  <c r="B438" i="1"/>
  <c r="A440" i="1"/>
  <c r="B439" i="1"/>
  <c r="A441" i="1"/>
  <c r="B440" i="1"/>
  <c r="A442" i="1"/>
  <c r="B441" i="1"/>
  <c r="A443" i="1"/>
  <c r="B442" i="1"/>
  <c r="A444" i="1"/>
  <c r="B443" i="1"/>
  <c r="F434" i="1"/>
  <c r="L44" i="1"/>
  <c r="E434" i="1"/>
  <c r="K44" i="1"/>
  <c r="A445" i="1"/>
  <c r="B444" i="1"/>
  <c r="G434" i="1"/>
  <c r="M44" i="1"/>
  <c r="D444" i="1"/>
  <c r="J45" i="1"/>
  <c r="A446" i="1"/>
  <c r="B445" i="1"/>
  <c r="A447" i="1"/>
  <c r="B446" i="1"/>
  <c r="A448" i="1"/>
  <c r="B447" i="1"/>
  <c r="A449" i="1"/>
  <c r="B448" i="1"/>
  <c r="A450" i="1"/>
  <c r="B449" i="1"/>
  <c r="A451" i="1"/>
  <c r="B450" i="1"/>
  <c r="A452" i="1"/>
  <c r="B451" i="1"/>
  <c r="A453" i="1"/>
  <c r="B452" i="1"/>
  <c r="A454" i="1"/>
  <c r="B453" i="1"/>
  <c r="F444" i="1"/>
  <c r="L45" i="1"/>
  <c r="E444" i="1"/>
  <c r="K45" i="1"/>
  <c r="A455" i="1"/>
  <c r="B454" i="1"/>
  <c r="G444" i="1"/>
  <c r="M45" i="1"/>
  <c r="D454" i="1"/>
  <c r="J46" i="1"/>
  <c r="A456" i="1"/>
  <c r="B455" i="1"/>
  <c r="A457" i="1"/>
  <c r="B456" i="1"/>
  <c r="A458" i="1"/>
  <c r="B457" i="1"/>
  <c r="A459" i="1"/>
  <c r="B458" i="1"/>
  <c r="A460" i="1"/>
  <c r="B459" i="1"/>
  <c r="A461" i="1"/>
  <c r="B460" i="1"/>
  <c r="A462" i="1"/>
  <c r="B461" i="1"/>
  <c r="A463" i="1"/>
  <c r="B462" i="1"/>
  <c r="B463" i="1"/>
  <c r="F454" i="1"/>
  <c r="L46" i="1"/>
  <c r="E454" i="1"/>
  <c r="K46" i="1"/>
  <c r="P1" i="1"/>
  <c r="P2" i="1"/>
  <c r="G454" i="1"/>
  <c r="M46" i="1"/>
  <c r="P3" i="1"/>
</calcChain>
</file>

<file path=xl/sharedStrings.xml><?xml version="1.0" encoding="utf-8"?>
<sst xmlns="http://schemas.openxmlformats.org/spreadsheetml/2006/main" count="44" uniqueCount="39">
  <si>
    <t>Close</t>
  </si>
  <si>
    <t>Low</t>
  </si>
  <si>
    <t>Open</t>
  </si>
  <si>
    <t># of bins</t>
  </si>
  <si>
    <t>Price</t>
  </si>
  <si>
    <t>Bin</t>
  </si>
  <si>
    <t>High</t>
  </si>
  <si>
    <t xml:space="preserve">Low </t>
  </si>
  <si>
    <t>Timeremaining</t>
  </si>
  <si>
    <t>Time Elapsed</t>
  </si>
  <si>
    <t>Up to Bin #</t>
  </si>
  <si>
    <t>Current Price</t>
  </si>
  <si>
    <t>Data from RIT + rearrangement</t>
  </si>
  <si>
    <t>Tick</t>
  </si>
  <si>
    <t>Total Ticks</t>
  </si>
  <si>
    <t xml:space="preserve">bin size (in ticks) </t>
  </si>
  <si>
    <t>most recent news</t>
  </si>
  <si>
    <t>2nd most recent news</t>
  </si>
  <si>
    <t>3rd most recent news</t>
  </si>
  <si>
    <t>4th most recent news</t>
  </si>
  <si>
    <t>#</t>
  </si>
  <si>
    <t>Full News</t>
  </si>
  <si>
    <t>Header</t>
  </si>
  <si>
    <t>Body</t>
  </si>
  <si>
    <t>Period</t>
  </si>
  <si>
    <t xml:space="preserve">Ticker </t>
  </si>
  <si>
    <t>Ticker</t>
  </si>
  <si>
    <t>News</t>
  </si>
  <si>
    <t>Most Recent</t>
  </si>
  <si>
    <t>RT100</t>
  </si>
  <si>
    <t xml:space="preserve">1) Check that the upper bound for the y axis will not be passed by the price </t>
  </si>
  <si>
    <t xml:space="preserve">2) Check that the lower bound for the y axis will not be passed by the price </t>
  </si>
  <si>
    <t>3) Test links with powerpoint before the event</t>
  </si>
  <si>
    <t>Max</t>
  </si>
  <si>
    <t>Min</t>
  </si>
  <si>
    <t>Scale</t>
  </si>
  <si>
    <t>minutes</t>
  </si>
  <si>
    <t>seconds</t>
  </si>
  <si>
    <t>2rd Most Recent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</si>
</sst>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scheme val="minor"/>
    </font>
    <font>
      <b/>
      <sz val="11"/>
      <color theme="1"/>
      <name val="Calibri"/>
      <family val="2"/>
      <scheme val="minor"/>
    </font>
    <font>
      <b/>
      <sz val="14"/>
      <color theme="1"/>
      <name val="Calibri"/>
      <family val="2"/>
      <scheme val="minor"/>
    </font>
    <font>
      <sz val="9"/>
      <color rgb="FF000000"/>
      <name val="Verdana"/>
      <family val="2"/>
    </font>
    <font>
      <b/>
      <sz val="14"/>
      <color rgb="FF000000"/>
      <name val="Calibri"/>
      <family val="2"/>
    </font>
    <font>
      <b/>
      <sz val="14"/>
      <color theme="1"/>
      <name val="Futura Std Medium"/>
      <family val="2"/>
    </font>
    <font>
      <sz val="11"/>
      <color theme="1"/>
      <name val="Futura Std Medium"/>
      <family val="2"/>
    </font>
    <font>
      <b/>
      <sz val="11"/>
      <color theme="1"/>
      <name val="Futura Std Medium"/>
      <family val="2"/>
    </font>
    <font>
      <sz val="12"/>
      <color theme="1"/>
      <name val="Futura Std Medium"/>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s>
  <borders count="3">
    <border>
      <left/>
      <right/>
      <top/>
      <bottom/>
      <diagonal/>
    </border>
    <border>
      <left/>
      <right/>
      <top/>
      <bottom style="thin">
        <color indexed="64"/>
      </bottom>
      <diagonal/>
    </border>
    <border>
      <left/>
      <right/>
      <top style="thin">
        <color indexed="64"/>
      </top>
      <bottom/>
      <diagonal/>
    </border>
  </borders>
  <cellStyleXfs count="1">
    <xf numFmtId="0" fontId="0" fillId="0" borderId="0"/>
  </cellStyleXfs>
  <cellXfs count="25">
    <xf numFmtId="0" fontId="0" fillId="0" borderId="0" xfId="0"/>
    <xf numFmtId="0" fontId="0" fillId="0" borderId="0" xfId="0" applyAlignment="1">
      <alignment vertical="center"/>
    </xf>
    <xf numFmtId="2" fontId="0" fillId="0" borderId="0" xfId="0" applyNumberFormat="1" applyAlignment="1">
      <alignment vertical="center"/>
    </xf>
    <xf numFmtId="0" fontId="1" fillId="0" borderId="0" xfId="0" applyFont="1" applyAlignment="1">
      <alignment vertical="center"/>
    </xf>
    <xf numFmtId="0" fontId="1" fillId="0" borderId="0" xfId="0" applyFont="1"/>
    <xf numFmtId="0" fontId="0" fillId="2" borderId="0" xfId="0" applyFill="1" applyBorder="1"/>
    <xf numFmtId="0" fontId="0" fillId="2" borderId="0" xfId="0" applyFill="1" applyBorder="1" applyAlignment="1">
      <alignment vertical="center" wrapText="1"/>
    </xf>
    <xf numFmtId="0" fontId="3" fillId="0" borderId="0" xfId="0" applyFont="1"/>
    <xf numFmtId="0" fontId="0" fillId="0" borderId="0" xfId="0" applyFill="1" applyAlignment="1">
      <alignment horizontal="center" vertical="center"/>
    </xf>
    <xf numFmtId="0" fontId="0" fillId="4" borderId="0" xfId="0" applyFill="1" applyAlignment="1">
      <alignment vertical="center"/>
    </xf>
    <xf numFmtId="0" fontId="5" fillId="2" borderId="1" xfId="0" applyFont="1" applyFill="1" applyBorder="1" applyAlignment="1"/>
    <xf numFmtId="0" fontId="6" fillId="2" borderId="1" xfId="0" applyFont="1" applyFill="1" applyBorder="1"/>
    <xf numFmtId="0" fontId="7" fillId="2" borderId="1" xfId="0" applyFont="1" applyFill="1" applyBorder="1" applyAlignment="1"/>
    <xf numFmtId="0" fontId="6" fillId="2" borderId="0" xfId="0" applyFont="1" applyFill="1" applyBorder="1"/>
    <xf numFmtId="0" fontId="6" fillId="2" borderId="0" xfId="0" applyFont="1" applyFill="1" applyBorder="1" applyAlignment="1">
      <alignment vertical="center" wrapText="1"/>
    </xf>
    <xf numFmtId="0" fontId="2" fillId="0" borderId="0" xfId="0" applyFont="1" applyAlignment="1">
      <alignment horizontal="center" vertical="center"/>
    </xf>
    <xf numFmtId="0" fontId="8" fillId="3" borderId="2"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0" fillId="2" borderId="0" xfId="0" applyFill="1" applyBorder="1" applyAlignment="1">
      <alignment horizontal="center"/>
    </xf>
    <xf numFmtId="0" fontId="5" fillId="3" borderId="2"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5" fillId="2" borderId="1"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it2.rtd">
      <tp>
        <v>1000</v>
        <stp/>
        <stp>RT100</stp>
        <stp>LASTHIST</stp>
        <stp>6</stp>
        <tr r="B19" s="1"/>
      </tp>
      <tp>
        <v>1000</v>
        <stp/>
        <stp>RT100</stp>
        <stp>LASTHIST</stp>
        <stp>7</stp>
        <tr r="B20" s="1"/>
      </tp>
      <tp>
        <v>1001</v>
        <stp/>
        <stp>RT100</stp>
        <stp>LASTHIST</stp>
        <stp>4</stp>
        <tr r="B17" s="1"/>
      </tp>
      <tp>
        <v>1000</v>
        <stp/>
        <stp>RT100</stp>
        <stp>LASTHIST</stp>
        <stp>5</stp>
        <tr r="B18" s="1"/>
      </tp>
      <tp>
        <v>1000</v>
        <stp/>
        <stp>RT100</stp>
        <stp>LASTHIST</stp>
        <stp>2</stp>
        <tr r="B15" s="1"/>
      </tp>
      <tp>
        <v>1000</v>
        <stp/>
        <stp>RT100</stp>
        <stp>LASTHIST</stp>
        <stp>3</stp>
        <tr r="B16" s="1"/>
      </tp>
      <tp>
        <v>1000</v>
        <stp/>
        <stp>RT100</stp>
        <stp>LASTHIST</stp>
        <stp>1</stp>
        <tr r="B14" s="1"/>
      </tp>
      <tp>
        <v>1000</v>
        <stp/>
        <stp>RT100</stp>
        <stp>LASTHIST</stp>
        <stp>8</stp>
        <tr r="B21" s="1"/>
      </tp>
      <tp>
        <v>999</v>
        <stp/>
        <stp>RT100</stp>
        <stp>LASTHIST</stp>
        <stp>9</stp>
        <tr r="B22" s="1"/>
      </tp>
      <tp>
        <v>1012</v>
        <stp/>
        <stp>RT100</stp>
        <stp>LASTHIST</stp>
        <stp>422</stp>
        <tr r="B435" s="1"/>
      </tp>
      <tp>
        <v>1013</v>
        <stp/>
        <stp>RT100</stp>
        <stp>LASTHIST</stp>
        <stp>423</stp>
        <tr r="B436" s="1"/>
      </tp>
      <tp>
        <v>1010</v>
        <stp/>
        <stp>RT100</stp>
        <stp>LASTHIST</stp>
        <stp>420</stp>
        <tr r="B433" s="1"/>
      </tp>
      <tp>
        <v>1010</v>
        <stp/>
        <stp>RT100</stp>
        <stp>LASTHIST</stp>
        <stp>421</stp>
        <tr r="B434" s="1"/>
      </tp>
      <tp>
        <v>1015</v>
        <stp/>
        <stp>RT100</stp>
        <stp>LASTHIST</stp>
        <stp>426</stp>
        <tr r="B439" s="1"/>
      </tp>
      <tp>
        <v>1017</v>
        <stp/>
        <stp>RT100</stp>
        <stp>LASTHIST</stp>
        <stp>427</stp>
        <tr r="B440" s="1"/>
      </tp>
      <tp>
        <v>1014</v>
        <stp/>
        <stp>RT100</stp>
        <stp>LASTHIST</stp>
        <stp>424</stp>
        <tr r="B437" s="1"/>
      </tp>
      <tp>
        <v>1014</v>
        <stp/>
        <stp>RT100</stp>
        <stp>LASTHIST</stp>
        <stp>425</stp>
        <tr r="B438" s="1"/>
      </tp>
      <tp>
        <v>1016</v>
        <stp/>
        <stp>RT100</stp>
        <stp>LASTHIST</stp>
        <stp>428</stp>
        <tr r="B441" s="1"/>
      </tp>
      <tp>
        <v>1016</v>
        <stp/>
        <stp>RT100</stp>
        <stp>LASTHIST</stp>
        <stp>429</stp>
        <tr r="B442" s="1"/>
      </tp>
      <tp>
        <v>1017</v>
        <stp/>
        <stp>RT100</stp>
        <stp>LASTHIST</stp>
        <stp>432</stp>
        <tr r="B445" s="1"/>
      </tp>
      <tp>
        <v>1017</v>
        <stp/>
        <stp>RT100</stp>
        <stp>LASTHIST</stp>
        <stp>433</stp>
        <tr r="B446" s="1"/>
      </tp>
      <tp>
        <v>1016</v>
        <stp/>
        <stp>RT100</stp>
        <stp>LASTHIST</stp>
        <stp>430</stp>
        <tr r="B443" s="1"/>
      </tp>
      <tp>
        <v>1017</v>
        <stp/>
        <stp>RT100</stp>
        <stp>LASTHIST</stp>
        <stp>431</stp>
        <tr r="B444" s="1"/>
      </tp>
      <tp>
        <v>1015</v>
        <stp/>
        <stp>RT100</stp>
        <stp>LASTHIST</stp>
        <stp>436</stp>
        <tr r="B449" s="1"/>
      </tp>
      <tp>
        <v>1015</v>
        <stp/>
        <stp>RT100</stp>
        <stp>LASTHIST</stp>
        <stp>437</stp>
        <tr r="B450" s="1"/>
      </tp>
      <tp>
        <v>1017</v>
        <stp/>
        <stp>RT100</stp>
        <stp>LASTHIST</stp>
        <stp>434</stp>
        <tr r="B447" s="1"/>
      </tp>
      <tp>
        <v>1016</v>
        <stp/>
        <stp>RT100</stp>
        <stp>LASTHIST</stp>
        <stp>435</stp>
        <tr r="B448" s="1"/>
      </tp>
      <tp>
        <v>1014</v>
        <stp/>
        <stp>RT100</stp>
        <stp>LASTHIST</stp>
        <stp>438</stp>
        <tr r="B451" s="1"/>
      </tp>
      <tp>
        <v>1014</v>
        <stp/>
        <stp>RT100</stp>
        <stp>LASTHIST</stp>
        <stp>439</stp>
        <tr r="B452" s="1"/>
      </tp>
      <tp>
        <v>1007</v>
        <stp/>
        <stp>RT100</stp>
        <stp>LASTHIST</stp>
        <stp>402</stp>
        <tr r="B415" s="1"/>
      </tp>
      <tp>
        <v>1006</v>
        <stp/>
        <stp>RT100</stp>
        <stp>LASTHIST</stp>
        <stp>403</stp>
        <tr r="B416" s="1"/>
      </tp>
      <tp>
        <v>1006</v>
        <stp/>
        <stp>RT100</stp>
        <stp>LASTHIST</stp>
        <stp>400</stp>
        <tr r="B413" s="1"/>
      </tp>
      <tp>
        <v>1006</v>
        <stp/>
        <stp>RT100</stp>
        <stp>LASTHIST</stp>
        <stp>401</stp>
        <tr r="B414" s="1"/>
      </tp>
      <tp>
        <v>1008</v>
        <stp/>
        <stp>RT100</stp>
        <stp>LASTHIST</stp>
        <stp>406</stp>
        <tr r="B419" s="1"/>
      </tp>
      <tp>
        <v>1009</v>
        <stp/>
        <stp>RT100</stp>
        <stp>LASTHIST</stp>
        <stp>407</stp>
        <tr r="B420" s="1"/>
      </tp>
      <tp>
        <v>1008</v>
        <stp/>
        <stp>RT100</stp>
        <stp>LASTHIST</stp>
        <stp>404</stp>
        <tr r="B417" s="1"/>
      </tp>
      <tp>
        <v>1008</v>
        <stp/>
        <stp>RT100</stp>
        <stp>LASTHIST</stp>
        <stp>405</stp>
        <tr r="B418" s="1"/>
      </tp>
      <tp>
        <v>1009</v>
        <stp/>
        <stp>RT100</stp>
        <stp>LASTHIST</stp>
        <stp>408</stp>
        <tr r="B421" s="1"/>
      </tp>
      <tp>
        <v>1009</v>
        <stp/>
        <stp>RT100</stp>
        <stp>LASTHIST</stp>
        <stp>409</stp>
        <tr r="B422" s="1"/>
      </tp>
      <tp>
        <v>1009</v>
        <stp/>
        <stp>RT100</stp>
        <stp>LASTHIST</stp>
        <stp>412</stp>
        <tr r="B425" s="1"/>
      </tp>
      <tp>
        <v>1009</v>
        <stp/>
        <stp>RT100</stp>
        <stp>LASTHIST</stp>
        <stp>413</stp>
        <tr r="B426" s="1"/>
      </tp>
      <tp>
        <v>1009</v>
        <stp/>
        <stp>RT100</stp>
        <stp>LASTHIST</stp>
        <stp>410</stp>
        <tr r="B423" s="1"/>
      </tp>
      <tp>
        <v>1009</v>
        <stp/>
        <stp>RT100</stp>
        <stp>LASTHIST</stp>
        <stp>411</stp>
        <tr r="B424" s="1"/>
      </tp>
      <tp>
        <v>1009</v>
        <stp/>
        <stp>RT100</stp>
        <stp>LASTHIST</stp>
        <stp>416</stp>
        <tr r="B429" s="1"/>
      </tp>
      <tp>
        <v>1010</v>
        <stp/>
        <stp>RT100</stp>
        <stp>LASTHIST</stp>
        <stp>417</stp>
        <tr r="B430" s="1"/>
      </tp>
      <tp>
        <v>1009</v>
        <stp/>
        <stp>RT100</stp>
        <stp>LASTHIST</stp>
        <stp>414</stp>
        <tr r="B427" s="1"/>
      </tp>
      <tp>
        <v>1009</v>
        <stp/>
        <stp>RT100</stp>
        <stp>LASTHIST</stp>
        <stp>415</stp>
        <tr r="B428" s="1"/>
      </tp>
      <tp>
        <v>1009</v>
        <stp/>
        <stp>RT100</stp>
        <stp>LASTHIST</stp>
        <stp>418</stp>
        <tr r="B431" s="1"/>
      </tp>
      <tp>
        <v>1009</v>
        <stp/>
        <stp>RT100</stp>
        <stp>LASTHIST</stp>
        <stp>419</stp>
        <tr r="B432" s="1"/>
      </tp>
      <tp>
        <v>1013</v>
        <stp/>
        <stp>RT100</stp>
        <stp>LASTHIST</stp>
        <stp>442</stp>
        <tr r="B455" s="1"/>
      </tp>
      <tp>
        <v>1014</v>
        <stp/>
        <stp>RT100</stp>
        <stp>LASTHIST</stp>
        <stp>443</stp>
        <tr r="B456" s="1"/>
      </tp>
      <tp>
        <v>1014</v>
        <stp/>
        <stp>RT100</stp>
        <stp>LASTHIST</stp>
        <stp>440</stp>
        <tr r="B453" s="1"/>
      </tp>
      <tp>
        <v>1013</v>
        <stp/>
        <stp>RT100</stp>
        <stp>LASTHIST</stp>
        <stp>441</stp>
        <tr r="B454" s="1"/>
      </tp>
      <tp>
        <v>1013</v>
        <stp/>
        <stp>RT100</stp>
        <stp>LASTHIST</stp>
        <stp>446</stp>
        <tr r="B459" s="1"/>
      </tp>
      <tp>
        <v>1013</v>
        <stp/>
        <stp>RT100</stp>
        <stp>LASTHIST</stp>
        <stp>447</stp>
        <tr r="B460" s="1"/>
      </tp>
      <tp>
        <v>1013</v>
        <stp/>
        <stp>RT100</stp>
        <stp>LASTHIST</stp>
        <stp>444</stp>
        <tr r="B457" s="1"/>
      </tp>
      <tp>
        <v>1013</v>
        <stp/>
        <stp>RT100</stp>
        <stp>LASTHIST</stp>
        <stp>445</stp>
        <tr r="B458" s="1"/>
      </tp>
      <tp>
        <v>1013</v>
        <stp/>
        <stp>RT100</stp>
        <stp>LASTHIST</stp>
        <stp>448</stp>
        <tr r="B461" s="1"/>
      </tp>
      <tp>
        <v>1014</v>
        <stp/>
        <stp>RT100</stp>
        <stp>LASTHIST</stp>
        <stp>449</stp>
        <tr r="B462" s="1"/>
      </tp>
      <tp>
        <v>1013</v>
        <stp/>
        <stp>RT100</stp>
        <stp>LASTHIST</stp>
        <stp>450</stp>
        <tr r="B463" s="1"/>
      </tp>
      <tp>
        <v>1001</v>
        <stp/>
        <stp>RT100</stp>
        <stp>LASTHIST</stp>
        <stp>222</stp>
        <tr r="B235" s="1"/>
      </tp>
      <tp>
        <v>1002</v>
        <stp/>
        <stp>RT100</stp>
        <stp>LASTHIST</stp>
        <stp>223</stp>
        <tr r="B236" s="1"/>
      </tp>
      <tp>
        <v>1001</v>
        <stp/>
        <stp>RT100</stp>
        <stp>LASTHIST</stp>
        <stp>220</stp>
        <tr r="B233" s="1"/>
      </tp>
      <tp>
        <v>1001</v>
        <stp/>
        <stp>RT100</stp>
        <stp>LASTHIST</stp>
        <stp>221</stp>
        <tr r="B234" s="1"/>
      </tp>
      <tp>
        <v>1002</v>
        <stp/>
        <stp>RT100</stp>
        <stp>LASTHIST</stp>
        <stp>226</stp>
        <tr r="B239" s="1"/>
      </tp>
      <tp>
        <v>1002</v>
        <stp/>
        <stp>RT100</stp>
        <stp>LASTHIST</stp>
        <stp>227</stp>
        <tr r="B240" s="1"/>
      </tp>
      <tp>
        <v>1002</v>
        <stp/>
        <stp>RT100</stp>
        <stp>LASTHIST</stp>
        <stp>224</stp>
        <tr r="B237" s="1"/>
      </tp>
      <tp>
        <v>1003</v>
        <stp/>
        <stp>RT100</stp>
        <stp>LASTHIST</stp>
        <stp>225</stp>
        <tr r="B238" s="1"/>
      </tp>
      <tp>
        <v>1003</v>
        <stp/>
        <stp>RT100</stp>
        <stp>LASTHIST</stp>
        <stp>228</stp>
        <tr r="B241" s="1"/>
      </tp>
      <tp>
        <v>1002</v>
        <stp/>
        <stp>RT100</stp>
        <stp>LASTHIST</stp>
        <stp>229</stp>
        <tr r="B242" s="1"/>
      </tp>
      <tp>
        <v>1002</v>
        <stp/>
        <stp>RT100</stp>
        <stp>LASTHIST</stp>
        <stp>232</stp>
        <tr r="B245" s="1"/>
      </tp>
      <tp>
        <v>1003</v>
        <stp/>
        <stp>RT100</stp>
        <stp>LASTHIST</stp>
        <stp>233</stp>
        <tr r="B246" s="1"/>
      </tp>
      <tp>
        <v>1002</v>
        <stp/>
        <stp>RT100</stp>
        <stp>LASTHIST</stp>
        <stp>230</stp>
        <tr r="B243" s="1"/>
      </tp>
      <tp>
        <v>1003</v>
        <stp/>
        <stp>RT100</stp>
        <stp>LASTHIST</stp>
        <stp>231</stp>
        <tr r="B244" s="1"/>
      </tp>
      <tp>
        <v>1004</v>
        <stp/>
        <stp>RT100</stp>
        <stp>LASTHIST</stp>
        <stp>236</stp>
        <tr r="B249" s="1"/>
      </tp>
      <tp>
        <v>1006</v>
        <stp/>
        <stp>RT100</stp>
        <stp>LASTHIST</stp>
        <stp>237</stp>
        <tr r="B250" s="1"/>
      </tp>
      <tp>
        <v>1003</v>
        <stp/>
        <stp>RT100</stp>
        <stp>LASTHIST</stp>
        <stp>234</stp>
        <tr r="B247" s="1"/>
      </tp>
      <tp>
        <v>1004</v>
        <stp/>
        <stp>RT100</stp>
        <stp>LASTHIST</stp>
        <stp>235</stp>
        <tr r="B248" s="1"/>
      </tp>
      <tp>
        <v>1007</v>
        <stp/>
        <stp>RT100</stp>
        <stp>LASTHIST</stp>
        <stp>238</stp>
        <tr r="B251" s="1"/>
      </tp>
      <tp>
        <v>1008</v>
        <stp/>
        <stp>RT100</stp>
        <stp>LASTHIST</stp>
        <stp>239</stp>
        <tr r="B252" s="1"/>
      </tp>
      <tp>
        <v>999</v>
        <stp/>
        <stp>RT100</stp>
        <stp>LASTHIST</stp>
        <stp>202</stp>
        <tr r="B215" s="1"/>
      </tp>
      <tp>
        <v>999</v>
        <stp/>
        <stp>RT100</stp>
        <stp>LASTHIST</stp>
        <stp>203</stp>
        <tr r="B216" s="1"/>
      </tp>
      <tp>
        <v>1002</v>
        <stp/>
        <stp>RT100</stp>
        <stp>LASTHIST</stp>
        <stp>200</stp>
        <tr r="B213" s="1"/>
      </tp>
      <tp>
        <v>1000</v>
        <stp/>
        <stp>RT100</stp>
        <stp>LASTHIST</stp>
        <stp>201</stp>
        <tr r="B214" s="1"/>
      </tp>
      <tp>
        <v>999</v>
        <stp/>
        <stp>RT100</stp>
        <stp>LASTHIST</stp>
        <stp>206</stp>
        <tr r="B219" s="1"/>
      </tp>
      <tp>
        <v>999</v>
        <stp/>
        <stp>RT100</stp>
        <stp>LASTHIST</stp>
        <stp>207</stp>
        <tr r="B220" s="1"/>
      </tp>
      <tp>
        <v>999</v>
        <stp/>
        <stp>RT100</stp>
        <stp>LASTHIST</stp>
        <stp>204</stp>
        <tr r="B217" s="1"/>
      </tp>
      <tp>
        <v>999</v>
        <stp/>
        <stp>RT100</stp>
        <stp>LASTHIST</stp>
        <stp>205</stp>
        <tr r="B218" s="1"/>
      </tp>
      <tp>
        <v>1000</v>
        <stp/>
        <stp>RT100</stp>
        <stp>LASTHIST</stp>
        <stp>208</stp>
        <tr r="B221" s="1"/>
      </tp>
      <tp>
        <v>999</v>
        <stp/>
        <stp>RT100</stp>
        <stp>LASTHIST</stp>
        <stp>209</stp>
        <tr r="B222" s="1"/>
      </tp>
      <tp>
        <v>999</v>
        <stp/>
        <stp>RT100</stp>
        <stp>LASTHIST</stp>
        <stp>212</stp>
        <tr r="B225" s="1"/>
      </tp>
      <tp>
        <v>999</v>
        <stp/>
        <stp>RT100</stp>
        <stp>LASTHIST</stp>
        <stp>213</stp>
        <tr r="B226" s="1"/>
      </tp>
      <tp>
        <v>1000</v>
        <stp/>
        <stp>RT100</stp>
        <stp>LASTHIST</stp>
        <stp>210</stp>
        <tr r="B223" s="1"/>
      </tp>
      <tp>
        <v>1000</v>
        <stp/>
        <stp>RT100</stp>
        <stp>LASTHIST</stp>
        <stp>211</stp>
        <tr r="B224" s="1"/>
      </tp>
      <tp>
        <v>999</v>
        <stp/>
        <stp>RT100</stp>
        <stp>LASTHIST</stp>
        <stp>216</stp>
        <tr r="B229" s="1"/>
      </tp>
      <tp>
        <v>998</v>
        <stp/>
        <stp>RT100</stp>
        <stp>LASTHIST</stp>
        <stp>217</stp>
        <tr r="B230" s="1"/>
      </tp>
      <tp>
        <v>998</v>
        <stp/>
        <stp>RT100</stp>
        <stp>LASTHIST</stp>
        <stp>214</stp>
        <tr r="B227" s="1"/>
      </tp>
      <tp>
        <v>999</v>
        <stp/>
        <stp>RT100</stp>
        <stp>LASTHIST</stp>
        <stp>215</stp>
        <tr r="B228" s="1"/>
      </tp>
      <tp>
        <v>999</v>
        <stp/>
        <stp>RT100</stp>
        <stp>LASTHIST</stp>
        <stp>218</stp>
        <tr r="B231" s="1"/>
      </tp>
      <tp>
        <v>1000</v>
        <stp/>
        <stp>RT100</stp>
        <stp>LASTHIST</stp>
        <stp>219</stp>
        <tr r="B232" s="1"/>
      </tp>
      <tp>
        <v>1008</v>
        <stp/>
        <stp>RT100</stp>
        <stp>LASTHIST</stp>
        <stp>262</stp>
        <tr r="B275" s="1"/>
      </tp>
      <tp>
        <v>1008</v>
        <stp/>
        <stp>RT100</stp>
        <stp>LASTHIST</stp>
        <stp>263</stp>
        <tr r="B276" s="1"/>
      </tp>
      <tp>
        <v>1008</v>
        <stp/>
        <stp>RT100</stp>
        <stp>LASTHIST</stp>
        <stp>260</stp>
        <tr r="B273" s="1"/>
      </tp>
      <tp>
        <v>1008</v>
        <stp/>
        <stp>RT100</stp>
        <stp>LASTHIST</stp>
        <stp>261</stp>
        <tr r="B274" s="1"/>
      </tp>
      <tp>
        <v>1009</v>
        <stp/>
        <stp>RT100</stp>
        <stp>LASTHIST</stp>
        <stp>266</stp>
        <tr r="B279" s="1"/>
      </tp>
      <tp>
        <v>1008</v>
        <stp/>
        <stp>RT100</stp>
        <stp>LASTHIST</stp>
        <stp>267</stp>
        <tr r="B280" s="1"/>
      </tp>
      <tp>
        <v>1009</v>
        <stp/>
        <stp>RT100</stp>
        <stp>LASTHIST</stp>
        <stp>264</stp>
        <tr r="B277" s="1"/>
      </tp>
      <tp>
        <v>1009</v>
        <stp/>
        <stp>RT100</stp>
        <stp>LASTHIST</stp>
        <stp>265</stp>
        <tr r="B278" s="1"/>
      </tp>
      <tp>
        <v>1008</v>
        <stp/>
        <stp>RT100</stp>
        <stp>LASTHIST</stp>
        <stp>268</stp>
        <tr r="B281" s="1"/>
      </tp>
      <tp>
        <v>1008</v>
        <stp/>
        <stp>RT100</stp>
        <stp>LASTHIST</stp>
        <stp>269</stp>
        <tr r="B282" s="1"/>
      </tp>
      <tp>
        <v>1008</v>
        <stp/>
        <stp>RT100</stp>
        <stp>LASTHIST</stp>
        <stp>272</stp>
        <tr r="B285" s="1"/>
      </tp>
      <tp>
        <v>1009</v>
        <stp/>
        <stp>RT100</stp>
        <stp>LASTHIST</stp>
        <stp>273</stp>
        <tr r="B286" s="1"/>
      </tp>
      <tp>
        <v>1008</v>
        <stp/>
        <stp>RT100</stp>
        <stp>LASTHIST</stp>
        <stp>270</stp>
        <tr r="B283" s="1"/>
      </tp>
      <tp>
        <v>1008</v>
        <stp/>
        <stp>RT100</stp>
        <stp>LASTHIST</stp>
        <stp>271</stp>
        <tr r="B284" s="1"/>
      </tp>
      <tp>
        <v>1008</v>
        <stp/>
        <stp>RT100</stp>
        <stp>LASTHIST</stp>
        <stp>276</stp>
        <tr r="B289" s="1"/>
      </tp>
      <tp>
        <v>1009</v>
        <stp/>
        <stp>RT100</stp>
        <stp>LASTHIST</stp>
        <stp>277</stp>
        <tr r="B290" s="1"/>
      </tp>
      <tp>
        <v>1009</v>
        <stp/>
        <stp>RT100</stp>
        <stp>LASTHIST</stp>
        <stp>274</stp>
        <tr r="B287" s="1"/>
      </tp>
      <tp>
        <v>1009</v>
        <stp/>
        <stp>RT100</stp>
        <stp>LASTHIST</stp>
        <stp>275</stp>
        <tr r="B288" s="1"/>
      </tp>
      <tp>
        <v>1009</v>
        <stp/>
        <stp>RT100</stp>
        <stp>LASTHIST</stp>
        <stp>278</stp>
        <tr r="B291" s="1"/>
      </tp>
      <tp>
        <v>1009</v>
        <stp/>
        <stp>RT100</stp>
        <stp>LASTHIST</stp>
        <stp>279</stp>
        <tr r="B292" s="1"/>
      </tp>
      <tp>
        <v>1008</v>
        <stp/>
        <stp>RT100</stp>
        <stp>LASTHIST</stp>
        <stp>242</stp>
        <tr r="B255" s="1"/>
      </tp>
      <tp>
        <v>1008</v>
        <stp/>
        <stp>RT100</stp>
        <stp>LASTHIST</stp>
        <stp>243</stp>
        <tr r="B256" s="1"/>
      </tp>
      <tp>
        <v>1010</v>
        <stp/>
        <stp>RT100</stp>
        <stp>LASTHIST</stp>
        <stp>240</stp>
        <tr r="B253" s="1"/>
      </tp>
      <tp>
        <v>1009</v>
        <stp/>
        <stp>RT100</stp>
        <stp>LASTHIST</stp>
        <stp>241</stp>
        <tr r="B254" s="1"/>
      </tp>
      <tp>
        <v>1008</v>
        <stp/>
        <stp>RT100</stp>
        <stp>LASTHIST</stp>
        <stp>246</stp>
        <tr r="B259" s="1"/>
      </tp>
      <tp>
        <v>1008</v>
        <stp/>
        <stp>RT100</stp>
        <stp>LASTHIST</stp>
        <stp>247</stp>
        <tr r="B260" s="1"/>
      </tp>
      <tp>
        <v>1008</v>
        <stp/>
        <stp>RT100</stp>
        <stp>LASTHIST</stp>
        <stp>244</stp>
        <tr r="B257" s="1"/>
      </tp>
      <tp>
        <v>1008</v>
        <stp/>
        <stp>RT100</stp>
        <stp>LASTHIST</stp>
        <stp>245</stp>
        <tr r="B258" s="1"/>
      </tp>
      <tp>
        <v>1008</v>
        <stp/>
        <stp>RT100</stp>
        <stp>LASTHIST</stp>
        <stp>248</stp>
        <tr r="B261" s="1"/>
      </tp>
      <tp>
        <v>1008</v>
        <stp/>
        <stp>RT100</stp>
        <stp>LASTHIST</stp>
        <stp>249</stp>
        <tr r="B262" s="1"/>
      </tp>
      <tp>
        <v>1008</v>
        <stp/>
        <stp>RT100</stp>
        <stp>LASTHIST</stp>
        <stp>252</stp>
        <tr r="B265" s="1"/>
      </tp>
      <tp>
        <v>1008</v>
        <stp/>
        <stp>RT100</stp>
        <stp>LASTHIST</stp>
        <stp>253</stp>
        <tr r="B266" s="1"/>
      </tp>
      <tp>
        <v>1008</v>
        <stp/>
        <stp>RT100</stp>
        <stp>LASTHIST</stp>
        <stp>250</stp>
        <tr r="B263" s="1"/>
      </tp>
      <tp>
        <v>1008</v>
        <stp/>
        <stp>RT100</stp>
        <stp>LASTHIST</stp>
        <stp>251</stp>
        <tr r="B264" s="1"/>
      </tp>
      <tp>
        <v>1008</v>
        <stp/>
        <stp>RT100</stp>
        <stp>LASTHIST</stp>
        <stp>256</stp>
        <tr r="B269" s="1"/>
      </tp>
      <tp>
        <v>1008</v>
        <stp/>
        <stp>RT100</stp>
        <stp>LASTHIST</stp>
        <stp>257</stp>
        <tr r="B270" s="1"/>
      </tp>
      <tp>
        <v>1008</v>
        <stp/>
        <stp>RT100</stp>
        <stp>LASTHIST</stp>
        <stp>254</stp>
        <tr r="B267" s="1"/>
      </tp>
      <tp>
        <v>1009</v>
        <stp/>
        <stp>RT100</stp>
        <stp>LASTHIST</stp>
        <stp>255</stp>
        <tr r="B268" s="1"/>
      </tp>
      <tp>
        <v>1008</v>
        <stp/>
        <stp>RT100</stp>
        <stp>LASTHIST</stp>
        <stp>258</stp>
        <tr r="B271" s="1"/>
      </tp>
      <tp>
        <v>1008</v>
        <stp/>
        <stp>RT100</stp>
        <stp>LASTHIST</stp>
        <stp>259</stp>
        <tr r="B272" s="1"/>
      </tp>
      <tp>
        <v>1009</v>
        <stp/>
        <stp>RT100</stp>
        <stp>LASTHIST</stp>
        <stp>282</stp>
        <tr r="B295" s="1"/>
      </tp>
      <tp>
        <v>1009</v>
        <stp/>
        <stp>RT100</stp>
        <stp>LASTHIST</stp>
        <stp>283</stp>
        <tr r="B296" s="1"/>
      </tp>
      <tp>
        <v>1010</v>
        <stp/>
        <stp>RT100</stp>
        <stp>LASTHIST</stp>
        <stp>280</stp>
        <tr r="B293" s="1"/>
      </tp>
      <tp>
        <v>1010</v>
        <stp/>
        <stp>RT100</stp>
        <stp>LASTHIST</stp>
        <stp>281</stp>
        <tr r="B294" s="1"/>
      </tp>
      <tp>
        <v>1010</v>
        <stp/>
        <stp>RT100</stp>
        <stp>LASTHIST</stp>
        <stp>286</stp>
        <tr r="B299" s="1"/>
      </tp>
      <tp>
        <v>1010</v>
        <stp/>
        <stp>RT100</stp>
        <stp>LASTHIST</stp>
        <stp>287</stp>
        <tr r="B300" s="1"/>
      </tp>
      <tp>
        <v>1009</v>
        <stp/>
        <stp>RT100</stp>
        <stp>LASTHIST</stp>
        <stp>284</stp>
        <tr r="B297" s="1"/>
      </tp>
      <tp>
        <v>1009</v>
        <stp/>
        <stp>RT100</stp>
        <stp>LASTHIST</stp>
        <stp>285</stp>
        <tr r="B298" s="1"/>
      </tp>
      <tp>
        <v>1010</v>
        <stp/>
        <stp>RT100</stp>
        <stp>LASTHIST</stp>
        <stp>288</stp>
        <tr r="B301" s="1"/>
      </tp>
      <tp>
        <v>1009</v>
        <stp/>
        <stp>RT100</stp>
        <stp>LASTHIST</stp>
        <stp>289</stp>
        <tr r="B302" s="1"/>
      </tp>
      <tp>
        <v>1009</v>
        <stp/>
        <stp>RT100</stp>
        <stp>LASTHIST</stp>
        <stp>292</stp>
        <tr r="B305" s="1"/>
      </tp>
      <tp>
        <v>1009</v>
        <stp/>
        <stp>RT100</stp>
        <stp>LASTHIST</stp>
        <stp>293</stp>
        <tr r="B306" s="1"/>
      </tp>
      <tp>
        <v>1009</v>
        <stp/>
        <stp>RT100</stp>
        <stp>LASTHIST</stp>
        <stp>290</stp>
        <tr r="B303" s="1"/>
      </tp>
      <tp>
        <v>1009</v>
        <stp/>
        <stp>RT100</stp>
        <stp>LASTHIST</stp>
        <stp>291</stp>
        <tr r="B304" s="1"/>
      </tp>
      <tp>
        <v>1010</v>
        <stp/>
        <stp>RT100</stp>
        <stp>LASTHIST</stp>
        <stp>296</stp>
        <tr r="B309" s="1"/>
      </tp>
      <tp>
        <v>1009</v>
        <stp/>
        <stp>RT100</stp>
        <stp>LASTHIST</stp>
        <stp>297</stp>
        <tr r="B310" s="1"/>
      </tp>
      <tp>
        <v>1009</v>
        <stp/>
        <stp>RT100</stp>
        <stp>LASTHIST</stp>
        <stp>294</stp>
        <tr r="B307" s="1"/>
      </tp>
      <tp>
        <v>1010</v>
        <stp/>
        <stp>RT100</stp>
        <stp>LASTHIST</stp>
        <stp>295</stp>
        <tr r="B308" s="1"/>
      </tp>
      <tp>
        <v>1008</v>
        <stp/>
        <stp>RT100</stp>
        <stp>LASTHIST</stp>
        <stp>298</stp>
        <tr r="B311" s="1"/>
      </tp>
      <tp>
        <v>1007</v>
        <stp/>
        <stp>RT100</stp>
        <stp>LASTHIST</stp>
        <stp>299</stp>
        <tr r="B312" s="1"/>
      </tp>
      <tp>
        <v>1002</v>
        <stp/>
        <stp>RT100</stp>
        <stp>LASTHIST</stp>
        <stp>322</stp>
        <tr r="B335" s="1"/>
      </tp>
      <tp>
        <v>1002</v>
        <stp/>
        <stp>RT100</stp>
        <stp>LASTHIST</stp>
        <stp>323</stp>
        <tr r="B336" s="1"/>
      </tp>
      <tp>
        <v>1004</v>
        <stp/>
        <stp>RT100</stp>
        <stp>LASTHIST</stp>
        <stp>320</stp>
        <tr r="B333" s="1"/>
      </tp>
      <tp>
        <v>1003</v>
        <stp/>
        <stp>RT100</stp>
        <stp>LASTHIST</stp>
        <stp>321</stp>
        <tr r="B334" s="1"/>
      </tp>
      <tp>
        <v>1001</v>
        <stp/>
        <stp>RT100</stp>
        <stp>LASTHIST</stp>
        <stp>326</stp>
        <tr r="B339" s="1"/>
      </tp>
      <tp>
        <v>1002</v>
        <stp/>
        <stp>RT100</stp>
        <stp>LASTHIST</stp>
        <stp>327</stp>
        <tr r="B340" s="1"/>
      </tp>
      <tp>
        <v>1001</v>
        <stp/>
        <stp>RT100</stp>
        <stp>LASTHIST</stp>
        <stp>324</stp>
        <tr r="B337" s="1"/>
      </tp>
      <tp>
        <v>1001</v>
        <stp/>
        <stp>RT100</stp>
        <stp>LASTHIST</stp>
        <stp>325</stp>
        <tr r="B338" s="1"/>
      </tp>
      <tp>
        <v>1002</v>
        <stp/>
        <stp>RT100</stp>
        <stp>LASTHIST</stp>
        <stp>328</stp>
        <tr r="B341" s="1"/>
      </tp>
      <tp>
        <v>1002</v>
        <stp/>
        <stp>RT100</stp>
        <stp>LASTHIST</stp>
        <stp>329</stp>
        <tr r="B342" s="1"/>
      </tp>
      <tp>
        <v>1003</v>
        <stp/>
        <stp>RT100</stp>
        <stp>LASTHIST</stp>
        <stp>332</stp>
        <tr r="B345" s="1"/>
      </tp>
      <tp>
        <v>1002</v>
        <stp/>
        <stp>RT100</stp>
        <stp>LASTHIST</stp>
        <stp>333</stp>
        <tr r="B346" s="1"/>
      </tp>
      <tp>
        <v>1002</v>
        <stp/>
        <stp>RT100</stp>
        <stp>LASTHIST</stp>
        <stp>330</stp>
        <tr r="B343" s="1"/>
      </tp>
      <tp>
        <v>1002</v>
        <stp/>
        <stp>RT100</stp>
        <stp>LASTHIST</stp>
        <stp>331</stp>
        <tr r="B344" s="1"/>
      </tp>
      <tp>
        <v>1000</v>
        <stp/>
        <stp>RT100</stp>
        <stp>LASTHIST</stp>
        <stp>336</stp>
        <tr r="B349" s="1"/>
      </tp>
      <tp>
        <v>998</v>
        <stp/>
        <stp>RT100</stp>
        <stp>LASTHIST</stp>
        <stp>337</stp>
        <tr r="B350" s="1"/>
      </tp>
      <tp>
        <v>1003</v>
        <stp/>
        <stp>RT100</stp>
        <stp>LASTHIST</stp>
        <stp>334</stp>
        <tr r="B347" s="1"/>
      </tp>
      <tp>
        <v>1001</v>
        <stp/>
        <stp>RT100</stp>
        <stp>LASTHIST</stp>
        <stp>335</stp>
        <tr r="B348" s="1"/>
      </tp>
      <tp>
        <v>997</v>
        <stp/>
        <stp>RT100</stp>
        <stp>LASTHIST</stp>
        <stp>338</stp>
        <tr r="B351" s="1"/>
      </tp>
      <tp>
        <v>995</v>
        <stp/>
        <stp>RT100</stp>
        <stp>LASTHIST</stp>
        <stp>339</stp>
        <tr r="B352" s="1"/>
      </tp>
      <tp>
        <v>1008</v>
        <stp/>
        <stp>RT100</stp>
        <stp>LASTHIST</stp>
        <stp>302</stp>
        <tr r="B315" s="1"/>
      </tp>
      <tp>
        <v>1008</v>
        <stp/>
        <stp>RT100</stp>
        <stp>LASTHIST</stp>
        <stp>303</stp>
        <tr r="B316" s="1"/>
      </tp>
      <tp>
        <v>1007</v>
        <stp/>
        <stp>RT100</stp>
        <stp>LASTHIST</stp>
        <stp>300</stp>
        <tr r="B313" s="1"/>
      </tp>
      <tp>
        <v>1008</v>
        <stp/>
        <stp>RT100</stp>
        <stp>LASTHIST</stp>
        <stp>301</stp>
        <tr r="B314" s="1"/>
      </tp>
      <tp>
        <v>1009</v>
        <stp/>
        <stp>RT100</stp>
        <stp>LASTHIST</stp>
        <stp>306</stp>
        <tr r="B319" s="1"/>
      </tp>
      <tp>
        <v>1008</v>
        <stp/>
        <stp>RT100</stp>
        <stp>LASTHIST</stp>
        <stp>307</stp>
        <tr r="B320" s="1"/>
      </tp>
      <tp>
        <v>1008</v>
        <stp/>
        <stp>RT100</stp>
        <stp>LASTHIST</stp>
        <stp>304</stp>
        <tr r="B317" s="1"/>
      </tp>
      <tp>
        <v>1008</v>
        <stp/>
        <stp>RT100</stp>
        <stp>LASTHIST</stp>
        <stp>305</stp>
        <tr r="B318" s="1"/>
      </tp>
      <tp>
        <v>1008</v>
        <stp/>
        <stp>RT100</stp>
        <stp>LASTHIST</stp>
        <stp>308</stp>
        <tr r="B321" s="1"/>
      </tp>
      <tp>
        <v>1008</v>
        <stp/>
        <stp>RT100</stp>
        <stp>LASTHIST</stp>
        <stp>309</stp>
        <tr r="B322" s="1"/>
      </tp>
      <tp>
        <v>1008</v>
        <stp/>
        <stp>RT100</stp>
        <stp>LASTHIST</stp>
        <stp>312</stp>
        <tr r="B325" s="1"/>
      </tp>
      <tp>
        <v>1007</v>
        <stp/>
        <stp>RT100</stp>
        <stp>LASTHIST</stp>
        <stp>313</stp>
        <tr r="B326" s="1"/>
      </tp>
      <tp>
        <v>1008</v>
        <stp/>
        <stp>RT100</stp>
        <stp>LASTHIST</stp>
        <stp>310</stp>
        <tr r="B323" s="1"/>
      </tp>
      <tp>
        <v>1008</v>
        <stp/>
        <stp>RT100</stp>
        <stp>LASTHIST</stp>
        <stp>311</stp>
        <tr r="B324" s="1"/>
      </tp>
      <tp>
        <v>1008</v>
        <stp/>
        <stp>RT100</stp>
        <stp>LASTHIST</stp>
        <stp>316</stp>
        <tr r="B329" s="1"/>
      </tp>
      <tp>
        <v>1007</v>
        <stp/>
        <stp>RT100</stp>
        <stp>LASTHIST</stp>
        <stp>317</stp>
        <tr r="B330" s="1"/>
      </tp>
      <tp>
        <v>1007</v>
        <stp/>
        <stp>RT100</stp>
        <stp>LASTHIST</stp>
        <stp>314</stp>
        <tr r="B327" s="1"/>
      </tp>
      <tp>
        <v>1007</v>
        <stp/>
        <stp>RT100</stp>
        <stp>LASTHIST</stp>
        <stp>315</stp>
        <tr r="B328" s="1"/>
      </tp>
      <tp>
        <v>1006</v>
        <stp/>
        <stp>RT100</stp>
        <stp>LASTHIST</stp>
        <stp>318</stp>
        <tr r="B331" s="1"/>
      </tp>
      <tp>
        <v>1005</v>
        <stp/>
        <stp>RT100</stp>
        <stp>LASTHIST</stp>
        <stp>319</stp>
        <tr r="B332" s="1"/>
      </tp>
      <tp>
        <v>997</v>
        <stp/>
        <stp>RT100</stp>
        <stp>LASTHIST</stp>
        <stp>362</stp>
        <tr r="B375" s="1"/>
      </tp>
      <tp>
        <v>997</v>
        <stp/>
        <stp>RT100</stp>
        <stp>LASTHIST</stp>
        <stp>363</stp>
        <tr r="B376" s="1"/>
      </tp>
      <tp>
        <v>996</v>
        <stp/>
        <stp>RT100</stp>
        <stp>LASTHIST</stp>
        <stp>360</stp>
        <tr r="B373" s="1"/>
      </tp>
      <tp>
        <v>997</v>
        <stp/>
        <stp>RT100</stp>
        <stp>LASTHIST</stp>
        <stp>361</stp>
        <tr r="B374" s="1"/>
      </tp>
      <tp>
        <v>997</v>
        <stp/>
        <stp>RT100</stp>
        <stp>LASTHIST</stp>
        <stp>366</stp>
        <tr r="B379" s="1"/>
      </tp>
      <tp>
        <v>997</v>
        <stp/>
        <stp>RT100</stp>
        <stp>LASTHIST</stp>
        <stp>367</stp>
        <tr r="B380" s="1"/>
      </tp>
      <tp>
        <v>997</v>
        <stp/>
        <stp>RT100</stp>
        <stp>LASTHIST</stp>
        <stp>364</stp>
        <tr r="B377" s="1"/>
      </tp>
      <tp>
        <v>997</v>
        <stp/>
        <stp>RT100</stp>
        <stp>LASTHIST</stp>
        <stp>365</stp>
        <tr r="B378" s="1"/>
      </tp>
      <tp>
        <v>997</v>
        <stp/>
        <stp>RT100</stp>
        <stp>LASTHIST</stp>
        <stp>368</stp>
        <tr r="B381" s="1"/>
      </tp>
      <tp>
        <v>997</v>
        <stp/>
        <stp>RT100</stp>
        <stp>LASTHIST</stp>
        <stp>369</stp>
        <tr r="B382" s="1"/>
      </tp>
      <tp>
        <v>996</v>
        <stp/>
        <stp>RT100</stp>
        <stp>LASTHIST</stp>
        <stp>372</stp>
        <tr r="B385" s="1"/>
      </tp>
      <tp>
        <v>996</v>
        <stp/>
        <stp>RT100</stp>
        <stp>LASTHIST</stp>
        <stp>373</stp>
        <tr r="B386" s="1"/>
      </tp>
      <tp>
        <v>997</v>
        <stp/>
        <stp>RT100</stp>
        <stp>LASTHIST</stp>
        <stp>370</stp>
        <tr r="B383" s="1"/>
      </tp>
      <tp>
        <v>996</v>
        <stp/>
        <stp>RT100</stp>
        <stp>LASTHIST</stp>
        <stp>371</stp>
        <tr r="B384" s="1"/>
      </tp>
      <tp>
        <v>997</v>
        <stp/>
        <stp>RT100</stp>
        <stp>LASTHIST</stp>
        <stp>376</stp>
        <tr r="B389" s="1"/>
      </tp>
      <tp>
        <v>997</v>
        <stp/>
        <stp>RT100</stp>
        <stp>LASTHIST</stp>
        <stp>377</stp>
        <tr r="B390" s="1"/>
      </tp>
      <tp>
        <v>997</v>
        <stp/>
        <stp>RT100</stp>
        <stp>LASTHIST</stp>
        <stp>374</stp>
        <tr r="B387" s="1"/>
      </tp>
      <tp>
        <v>997</v>
        <stp/>
        <stp>RT100</stp>
        <stp>LASTHIST</stp>
        <stp>375</stp>
        <tr r="B388" s="1"/>
      </tp>
      <tp>
        <v>998</v>
        <stp/>
        <stp>RT100</stp>
        <stp>LASTHIST</stp>
        <stp>378</stp>
        <tr r="B391" s="1"/>
      </tp>
      <tp>
        <v>999</v>
        <stp/>
        <stp>RT100</stp>
        <stp>LASTHIST</stp>
        <stp>379</stp>
        <tr r="B392" s="1"/>
      </tp>
      <tp>
        <v>995</v>
        <stp/>
        <stp>RT100</stp>
        <stp>LASTHIST</stp>
        <stp>342</stp>
        <tr r="B355" s="1"/>
      </tp>
      <tp>
        <v>996</v>
        <stp/>
        <stp>RT100</stp>
        <stp>LASTHIST</stp>
        <stp>343</stp>
        <tr r="B356" s="1"/>
      </tp>
      <tp>
        <v>993</v>
        <stp/>
        <stp>RT100</stp>
        <stp>LASTHIST</stp>
        <stp>340</stp>
        <tr r="B353" s="1"/>
      </tp>
      <tp>
        <v>994</v>
        <stp/>
        <stp>RT100</stp>
        <stp>LASTHIST</stp>
        <stp>341</stp>
        <tr r="B354" s="1"/>
      </tp>
      <tp>
        <v>995</v>
        <stp/>
        <stp>RT100</stp>
        <stp>LASTHIST</stp>
        <stp>346</stp>
        <tr r="B359" s="1"/>
      </tp>
      <tp>
        <v>995</v>
        <stp/>
        <stp>RT100</stp>
        <stp>LASTHIST</stp>
        <stp>347</stp>
        <tr r="B360" s="1"/>
      </tp>
      <tp>
        <v>995</v>
        <stp/>
        <stp>RT100</stp>
        <stp>LASTHIST</stp>
        <stp>344</stp>
        <tr r="B357" s="1"/>
      </tp>
      <tp>
        <v>995</v>
        <stp/>
        <stp>RT100</stp>
        <stp>LASTHIST</stp>
        <stp>345</stp>
        <tr r="B358" s="1"/>
      </tp>
      <tp>
        <v>995</v>
        <stp/>
        <stp>RT100</stp>
        <stp>LASTHIST</stp>
        <stp>348</stp>
        <tr r="B361" s="1"/>
      </tp>
      <tp>
        <v>995</v>
        <stp/>
        <stp>RT100</stp>
        <stp>LASTHIST</stp>
        <stp>349</stp>
        <tr r="B362" s="1"/>
      </tp>
      <tp>
        <v>995</v>
        <stp/>
        <stp>RT100</stp>
        <stp>LASTHIST</stp>
        <stp>352</stp>
        <tr r="B365" s="1"/>
      </tp>
      <tp>
        <v>995</v>
        <stp/>
        <stp>RT100</stp>
        <stp>LASTHIST</stp>
        <stp>353</stp>
        <tr r="B366" s="1"/>
      </tp>
      <tp>
        <v>995</v>
        <stp/>
        <stp>RT100</stp>
        <stp>LASTHIST</stp>
        <stp>350</stp>
        <tr r="B363" s="1"/>
      </tp>
      <tp>
        <v>995</v>
        <stp/>
        <stp>RT100</stp>
        <stp>LASTHIST</stp>
        <stp>351</stp>
        <tr r="B364" s="1"/>
      </tp>
      <tp>
        <v>995</v>
        <stp/>
        <stp>RT100</stp>
        <stp>LASTHIST</stp>
        <stp>356</stp>
        <tr r="B369" s="1"/>
      </tp>
      <tp>
        <v>995</v>
        <stp/>
        <stp>RT100</stp>
        <stp>LASTHIST</stp>
        <stp>357</stp>
        <tr r="B370" s="1"/>
      </tp>
      <tp>
        <v>995</v>
        <stp/>
        <stp>RT100</stp>
        <stp>LASTHIST</stp>
        <stp>354</stp>
        <tr r="B367" s="1"/>
      </tp>
      <tp>
        <v>995</v>
        <stp/>
        <stp>RT100</stp>
        <stp>LASTHIST</stp>
        <stp>355</stp>
        <tr r="B368" s="1"/>
      </tp>
      <tp>
        <v>996</v>
        <stp/>
        <stp>RT100</stp>
        <stp>LASTHIST</stp>
        <stp>358</stp>
        <tr r="B371" s="1"/>
      </tp>
      <tp>
        <v>996</v>
        <stp/>
        <stp>RT100</stp>
        <stp>LASTHIST</stp>
        <stp>359</stp>
        <tr r="B372" s="1"/>
      </tp>
      <tp>
        <v>1001</v>
        <stp/>
        <stp>RT100</stp>
        <stp>LASTHIST</stp>
        <stp>382</stp>
        <tr r="B395" s="1"/>
      </tp>
      <tp>
        <v>1002</v>
        <stp/>
        <stp>RT100</stp>
        <stp>LASTHIST</stp>
        <stp>383</stp>
        <tr r="B396" s="1"/>
      </tp>
      <tp>
        <v>999</v>
        <stp/>
        <stp>RT100</stp>
        <stp>LASTHIST</stp>
        <stp>380</stp>
        <tr r="B393" s="1"/>
      </tp>
      <tp>
        <v>1002</v>
        <stp/>
        <stp>RT100</stp>
        <stp>LASTHIST</stp>
        <stp>381</stp>
        <tr r="B394" s="1"/>
      </tp>
      <tp>
        <v>1002</v>
        <stp/>
        <stp>RT100</stp>
        <stp>LASTHIST</stp>
        <stp>386</stp>
        <tr r="B399" s="1"/>
      </tp>
      <tp>
        <v>1002</v>
        <stp/>
        <stp>RT100</stp>
        <stp>LASTHIST</stp>
        <stp>387</stp>
        <tr r="B400" s="1"/>
      </tp>
      <tp>
        <v>1002</v>
        <stp/>
        <stp>RT100</stp>
        <stp>LASTHIST</stp>
        <stp>384</stp>
        <tr r="B397" s="1"/>
      </tp>
      <tp>
        <v>1003</v>
        <stp/>
        <stp>RT100</stp>
        <stp>LASTHIST</stp>
        <stp>385</stp>
        <tr r="B398" s="1"/>
      </tp>
      <tp>
        <v>1002</v>
        <stp/>
        <stp>RT100</stp>
        <stp>LASTHIST</stp>
        <stp>388</stp>
        <tr r="B401" s="1"/>
      </tp>
      <tp>
        <v>1002</v>
        <stp/>
        <stp>RT100</stp>
        <stp>LASTHIST</stp>
        <stp>389</stp>
        <tr r="B402" s="1"/>
      </tp>
      <tp>
        <v>1003</v>
        <stp/>
        <stp>RT100</stp>
        <stp>LASTHIST</stp>
        <stp>392</stp>
        <tr r="B405" s="1"/>
      </tp>
      <tp>
        <v>1003</v>
        <stp/>
        <stp>RT100</stp>
        <stp>LASTHIST</stp>
        <stp>393</stp>
        <tr r="B406" s="1"/>
      </tp>
      <tp>
        <v>1003</v>
        <stp/>
        <stp>RT100</stp>
        <stp>LASTHIST</stp>
        <stp>390</stp>
        <tr r="B403" s="1"/>
      </tp>
      <tp>
        <v>1004</v>
        <stp/>
        <stp>RT100</stp>
        <stp>LASTHIST</stp>
        <stp>391</stp>
        <tr r="B404" s="1"/>
      </tp>
      <tp>
        <v>1003</v>
        <stp/>
        <stp>RT100</stp>
        <stp>LASTHIST</stp>
        <stp>396</stp>
        <tr r="B409" s="1"/>
      </tp>
      <tp>
        <v>1003</v>
        <stp/>
        <stp>RT100</stp>
        <stp>LASTHIST</stp>
        <stp>397</stp>
        <tr r="B410" s="1"/>
      </tp>
      <tp>
        <v>1002</v>
        <stp/>
        <stp>RT100</stp>
        <stp>LASTHIST</stp>
        <stp>394</stp>
        <tr r="B407" s="1"/>
      </tp>
      <tp>
        <v>1002</v>
        <stp/>
        <stp>RT100</stp>
        <stp>LASTHIST</stp>
        <stp>395</stp>
        <tr r="B408" s="1"/>
      </tp>
      <tp>
        <v>1004</v>
        <stp/>
        <stp>RT100</stp>
        <stp>LASTHIST</stp>
        <stp>398</stp>
        <tr r="B411" s="1"/>
      </tp>
      <tp>
        <v>1005</v>
        <stp/>
        <stp>RT100</stp>
        <stp>LASTHIST</stp>
        <stp>399</stp>
        <tr r="B412" s="1"/>
      </tp>
      <tp>
        <v>450</v>
        <stp/>
        <stp>TIMEREMAINING</stp>
        <tr r="D4" s="1"/>
      </tp>
      <tp>
        <v>986</v>
        <stp/>
        <stp>RT100</stp>
        <stp>LASTHIST</stp>
        <stp>122</stp>
        <tr r="B135" s="1"/>
      </tp>
      <tp>
        <v>986</v>
        <stp/>
        <stp>RT100</stp>
        <stp>LASTHIST</stp>
        <stp>123</stp>
        <tr r="B136" s="1"/>
      </tp>
      <tp>
        <v>985</v>
        <stp/>
        <stp>RT100</stp>
        <stp>LASTHIST</stp>
        <stp>120</stp>
        <tr r="B133" s="1"/>
      </tp>
      <tp>
        <v>985</v>
        <stp/>
        <stp>RT100</stp>
        <stp>LASTHIST</stp>
        <stp>121</stp>
        <tr r="B134" s="1"/>
      </tp>
      <tp>
        <v>988</v>
        <stp/>
        <stp>RT100</stp>
        <stp>LASTHIST</stp>
        <stp>126</stp>
        <tr r="B139" s="1"/>
      </tp>
      <tp>
        <v>989</v>
        <stp/>
        <stp>RT100</stp>
        <stp>LASTHIST</stp>
        <stp>127</stp>
        <tr r="B140" s="1"/>
      </tp>
      <tp>
        <v>987</v>
        <stp/>
        <stp>RT100</stp>
        <stp>LASTHIST</stp>
        <stp>124</stp>
        <tr r="B137" s="1"/>
      </tp>
      <tp>
        <v>987</v>
        <stp/>
        <stp>RT100</stp>
        <stp>LASTHIST</stp>
        <stp>125</stp>
        <tr r="B138" s="1"/>
      </tp>
      <tp>
        <v>990</v>
        <stp/>
        <stp>RT100</stp>
        <stp>LASTHIST</stp>
        <stp>128</stp>
        <tr r="B141" s="1"/>
      </tp>
      <tp>
        <v>989</v>
        <stp/>
        <stp>RT100</stp>
        <stp>LASTHIST</stp>
        <stp>129</stp>
        <tr r="B142" s="1"/>
      </tp>
      <tp>
        <v>991</v>
        <stp/>
        <stp>RT100</stp>
        <stp>LASTHIST</stp>
        <stp>132</stp>
        <tr r="B145" s="1"/>
      </tp>
      <tp>
        <v>991</v>
        <stp/>
        <stp>RT100</stp>
        <stp>LASTHIST</stp>
        <stp>133</stp>
        <tr r="B146" s="1"/>
      </tp>
      <tp>
        <v>989</v>
        <stp/>
        <stp>RT100</stp>
        <stp>LASTHIST</stp>
        <stp>130</stp>
        <tr r="B143" s="1"/>
      </tp>
      <tp>
        <v>990</v>
        <stp/>
        <stp>RT100</stp>
        <stp>LASTHIST</stp>
        <stp>131</stp>
        <tr r="B144" s="1"/>
      </tp>
      <tp>
        <v>991</v>
        <stp/>
        <stp>RT100</stp>
        <stp>LASTHIST</stp>
        <stp>136</stp>
        <tr r="B149" s="1"/>
      </tp>
      <tp>
        <v>992</v>
        <stp/>
        <stp>RT100</stp>
        <stp>LASTHIST</stp>
        <stp>137</stp>
        <tr r="B150" s="1"/>
      </tp>
      <tp>
        <v>992</v>
        <stp/>
        <stp>RT100</stp>
        <stp>LASTHIST</stp>
        <stp>134</stp>
        <tr r="B147" s="1"/>
      </tp>
      <tp>
        <v>992</v>
        <stp/>
        <stp>RT100</stp>
        <stp>LASTHIST</stp>
        <stp>135</stp>
        <tr r="B148" s="1"/>
      </tp>
      <tp>
        <v>993</v>
        <stp/>
        <stp>RT100</stp>
        <stp>LASTHIST</stp>
        <stp>138</stp>
        <tr r="B151" s="1"/>
      </tp>
      <tp>
        <v>993</v>
        <stp/>
        <stp>RT100</stp>
        <stp>LASTHIST</stp>
        <stp>139</stp>
        <tr r="B152" s="1"/>
      </tp>
      <tp>
        <v>990</v>
        <stp/>
        <stp>RT100</stp>
        <stp>LASTHIST</stp>
        <stp>102</stp>
        <tr r="B115" s="1"/>
      </tp>
      <tp>
        <v>989</v>
        <stp/>
        <stp>RT100</stp>
        <stp>LASTHIST</stp>
        <stp>103</stp>
        <tr r="B116" s="1"/>
      </tp>
      <tp>
        <v>992</v>
        <stp/>
        <stp>RT100</stp>
        <stp>LASTHIST</stp>
        <stp>100</stp>
        <tr r="B113" s="1"/>
      </tp>
      <tp>
        <v>991</v>
        <stp/>
        <stp>RT100</stp>
        <stp>LASTHIST</stp>
        <stp>101</stp>
        <tr r="B114" s="1"/>
      </tp>
      <tp>
        <v>986</v>
        <stp/>
        <stp>RT100</stp>
        <stp>LASTHIST</stp>
        <stp>106</stp>
        <tr r="B119" s="1"/>
      </tp>
      <tp>
        <v>987</v>
        <stp/>
        <stp>RT100</stp>
        <stp>LASTHIST</stp>
        <stp>107</stp>
        <tr r="B120" s="1"/>
      </tp>
      <tp>
        <v>988</v>
        <stp/>
        <stp>RT100</stp>
        <stp>LASTHIST</stp>
        <stp>104</stp>
        <tr r="B117" s="1"/>
      </tp>
      <tp>
        <v>987</v>
        <stp/>
        <stp>RT100</stp>
        <stp>LASTHIST</stp>
        <stp>105</stp>
        <tr r="B118" s="1"/>
      </tp>
      <tp>
        <v>986</v>
        <stp/>
        <stp>RT100</stp>
        <stp>LASTHIST</stp>
        <stp>108</stp>
        <tr r="B121" s="1"/>
      </tp>
      <tp>
        <v>985</v>
        <stp/>
        <stp>RT100</stp>
        <stp>LASTHIST</stp>
        <stp>109</stp>
        <tr r="B122" s="1"/>
      </tp>
      <tp>
        <v>986</v>
        <stp/>
        <stp>RT100</stp>
        <stp>LASTHIST</stp>
        <stp>112</stp>
        <tr r="B125" s="1"/>
      </tp>
      <tp>
        <v>986</v>
        <stp/>
        <stp>RT100</stp>
        <stp>LASTHIST</stp>
        <stp>113</stp>
        <tr r="B126" s="1"/>
      </tp>
      <tp>
        <v>985</v>
        <stp/>
        <stp>RT100</stp>
        <stp>LASTHIST</stp>
        <stp>110</stp>
        <tr r="B123" s="1"/>
      </tp>
      <tp>
        <v>985</v>
        <stp/>
        <stp>RT100</stp>
        <stp>LASTHIST</stp>
        <stp>111</stp>
        <tr r="B124" s="1"/>
      </tp>
      <tp>
        <v>986</v>
        <stp/>
        <stp>RT100</stp>
        <stp>LASTHIST</stp>
        <stp>116</stp>
        <tr r="B129" s="1"/>
      </tp>
      <tp>
        <v>985</v>
        <stp/>
        <stp>RT100</stp>
        <stp>LASTHIST</stp>
        <stp>117</stp>
        <tr r="B130" s="1"/>
      </tp>
      <tp>
        <v>986</v>
        <stp/>
        <stp>RT100</stp>
        <stp>LASTHIST</stp>
        <stp>114</stp>
        <tr r="B127" s="1"/>
      </tp>
      <tp>
        <v>986</v>
        <stp/>
        <stp>RT100</stp>
        <stp>LASTHIST</stp>
        <stp>115</stp>
        <tr r="B128" s="1"/>
      </tp>
      <tp>
        <v>984</v>
        <stp/>
        <stp>RT100</stp>
        <stp>LASTHIST</stp>
        <stp>118</stp>
        <tr r="B131" s="1"/>
      </tp>
      <tp>
        <v>985</v>
        <stp/>
        <stp>RT100</stp>
        <stp>LASTHIST</stp>
        <stp>119</stp>
        <tr r="B132" s="1"/>
      </tp>
      <tp>
        <v>998</v>
        <stp/>
        <stp>RT100</stp>
        <stp>LASTHIST</stp>
        <stp>162</stp>
        <tr r="B175" s="1"/>
      </tp>
      <tp>
        <v>999</v>
        <stp/>
        <stp>RT100</stp>
        <stp>LASTHIST</stp>
        <stp>163</stp>
        <tr r="B176" s="1"/>
      </tp>
      <tp>
        <v>997</v>
        <stp/>
        <stp>RT100</stp>
        <stp>LASTHIST</stp>
        <stp>160</stp>
        <tr r="B173" s="1"/>
      </tp>
      <tp>
        <v>998</v>
        <stp/>
        <stp>RT100</stp>
        <stp>LASTHIST</stp>
        <stp>161</stp>
        <tr r="B174" s="1"/>
      </tp>
      <tp>
        <v>1000</v>
        <stp/>
        <stp>RT100</stp>
        <stp>LASTHIST</stp>
        <stp>166</stp>
        <tr r="B179" s="1"/>
      </tp>
      <tp>
        <v>1000</v>
        <stp/>
        <stp>RT100</stp>
        <stp>LASTHIST</stp>
        <stp>167</stp>
        <tr r="B180" s="1"/>
      </tp>
      <tp>
        <v>999</v>
        <stp/>
        <stp>RT100</stp>
        <stp>LASTHIST</stp>
        <stp>164</stp>
        <tr r="B177" s="1"/>
      </tp>
      <tp>
        <v>999</v>
        <stp/>
        <stp>RT100</stp>
        <stp>LASTHIST</stp>
        <stp>165</stp>
        <tr r="B178" s="1"/>
      </tp>
      <tp>
        <v>1000</v>
        <stp/>
        <stp>RT100</stp>
        <stp>LASTHIST</stp>
        <stp>168</stp>
        <tr r="B181" s="1"/>
      </tp>
      <tp>
        <v>1000</v>
        <stp/>
        <stp>RT100</stp>
        <stp>LASTHIST</stp>
        <stp>169</stp>
        <tr r="B182" s="1"/>
      </tp>
      <tp>
        <v>1000</v>
        <stp/>
        <stp>RT100</stp>
        <stp>LASTHIST</stp>
        <stp>172</stp>
        <tr r="B185" s="1"/>
      </tp>
      <tp>
        <v>1000</v>
        <stp/>
        <stp>RT100</stp>
        <stp>LASTHIST</stp>
        <stp>173</stp>
        <tr r="B186" s="1"/>
      </tp>
      <tp>
        <v>1000</v>
        <stp/>
        <stp>RT100</stp>
        <stp>LASTHIST</stp>
        <stp>170</stp>
        <tr r="B183" s="1"/>
      </tp>
      <tp>
        <v>1000</v>
        <stp/>
        <stp>RT100</stp>
        <stp>LASTHIST</stp>
        <stp>171</stp>
        <tr r="B184" s="1"/>
      </tp>
      <tp>
        <v>1002</v>
        <stp/>
        <stp>RT100</stp>
        <stp>LASTHIST</stp>
        <stp>176</stp>
        <tr r="B189" s="1"/>
      </tp>
      <tp>
        <v>1004</v>
        <stp/>
        <stp>RT100</stp>
        <stp>LASTHIST</stp>
        <stp>177</stp>
        <tr r="B190" s="1"/>
      </tp>
      <tp>
        <v>999</v>
        <stp/>
        <stp>RT100</stp>
        <stp>LASTHIST</stp>
        <stp>174</stp>
        <tr r="B187" s="1"/>
      </tp>
      <tp>
        <v>1001</v>
        <stp/>
        <stp>RT100</stp>
        <stp>LASTHIST</stp>
        <stp>175</stp>
        <tr r="B188" s="1"/>
      </tp>
      <tp>
        <v>1005</v>
        <stp/>
        <stp>RT100</stp>
        <stp>LASTHIST</stp>
        <stp>178</stp>
        <tr r="B191" s="1"/>
      </tp>
      <tp>
        <v>1004</v>
        <stp/>
        <stp>RT100</stp>
        <stp>LASTHIST</stp>
        <stp>179</stp>
        <tr r="B192" s="1"/>
      </tp>
      <tp>
        <v>994</v>
        <stp/>
        <stp>RT100</stp>
        <stp>LASTHIST</stp>
        <stp>142</stp>
        <tr r="B155" s="1"/>
      </tp>
      <tp>
        <v>994</v>
        <stp/>
        <stp>RT100</stp>
        <stp>LASTHIST</stp>
        <stp>143</stp>
        <tr r="B156" s="1"/>
      </tp>
      <tp>
        <v>993</v>
        <stp/>
        <stp>RT100</stp>
        <stp>LASTHIST</stp>
        <stp>140</stp>
        <tr r="B153" s="1"/>
      </tp>
      <tp>
        <v>993</v>
        <stp/>
        <stp>RT100</stp>
        <stp>LASTHIST</stp>
        <stp>141</stp>
        <tr r="B154" s="1"/>
      </tp>
      <tp>
        <v>995</v>
        <stp/>
        <stp>RT100</stp>
        <stp>LASTHIST</stp>
        <stp>146</stp>
        <tr r="B159" s="1"/>
      </tp>
      <tp>
        <v>994</v>
        <stp/>
        <stp>RT100</stp>
        <stp>LASTHIST</stp>
        <stp>147</stp>
        <tr r="B160" s="1"/>
      </tp>
      <tp>
        <v>995</v>
        <stp/>
        <stp>RT100</stp>
        <stp>LASTHIST</stp>
        <stp>144</stp>
        <tr r="B157" s="1"/>
      </tp>
      <tp>
        <v>995</v>
        <stp/>
        <stp>RT100</stp>
        <stp>LASTHIST</stp>
        <stp>145</stp>
        <tr r="B158" s="1"/>
      </tp>
      <tp>
        <v>994</v>
        <stp/>
        <stp>RT100</stp>
        <stp>LASTHIST</stp>
        <stp>148</stp>
        <tr r="B161" s="1"/>
      </tp>
      <tp>
        <v>994</v>
        <stp/>
        <stp>RT100</stp>
        <stp>LASTHIST</stp>
        <stp>149</stp>
        <tr r="B162" s="1"/>
      </tp>
      <tp>
        <v>995</v>
        <stp/>
        <stp>RT100</stp>
        <stp>LASTHIST</stp>
        <stp>152</stp>
        <tr r="B165" s="1"/>
      </tp>
      <tp>
        <v>995</v>
        <stp/>
        <stp>RT100</stp>
        <stp>LASTHIST</stp>
        <stp>153</stp>
        <tr r="B166" s="1"/>
      </tp>
      <tp>
        <v>994</v>
        <stp/>
        <stp>RT100</stp>
        <stp>LASTHIST</stp>
        <stp>150</stp>
        <tr r="B163" s="1"/>
      </tp>
      <tp>
        <v>995</v>
        <stp/>
        <stp>RT100</stp>
        <stp>LASTHIST</stp>
        <stp>151</stp>
        <tr r="B164" s="1"/>
      </tp>
      <tp>
        <v>996</v>
        <stp/>
        <stp>RT100</stp>
        <stp>LASTHIST</stp>
        <stp>156</stp>
        <tr r="B169" s="1"/>
      </tp>
      <tp>
        <v>996</v>
        <stp/>
        <stp>RT100</stp>
        <stp>LASTHIST</stp>
        <stp>157</stp>
        <tr r="B170" s="1"/>
      </tp>
      <tp>
        <v>995</v>
        <stp/>
        <stp>RT100</stp>
        <stp>LASTHIST</stp>
        <stp>154</stp>
        <tr r="B167" s="1"/>
      </tp>
      <tp>
        <v>996</v>
        <stp/>
        <stp>RT100</stp>
        <stp>LASTHIST</stp>
        <stp>155</stp>
        <tr r="B168" s="1"/>
      </tp>
      <tp>
        <v>996</v>
        <stp/>
        <stp>RT100</stp>
        <stp>LASTHIST</stp>
        <stp>158</stp>
        <tr r="B171" s="1"/>
      </tp>
      <tp>
        <v>996</v>
        <stp/>
        <stp>RT100</stp>
        <stp>LASTHIST</stp>
        <stp>159</stp>
        <tr r="B172" s="1"/>
      </tp>
      <tp>
        <v>1004</v>
        <stp/>
        <stp>RT100</stp>
        <stp>LASTHIST</stp>
        <stp>182</stp>
        <tr r="B195" s="1"/>
      </tp>
      <tp>
        <v>1004</v>
        <stp/>
        <stp>RT100</stp>
        <stp>LASTHIST</stp>
        <stp>183</stp>
        <tr r="B196" s="1"/>
      </tp>
      <tp>
        <v>1004</v>
        <stp/>
        <stp>RT100</stp>
        <stp>LASTHIST</stp>
        <stp>180</stp>
        <tr r="B193" s="1"/>
      </tp>
      <tp>
        <v>1005</v>
        <stp/>
        <stp>RT100</stp>
        <stp>LASTHIST</stp>
        <stp>181</stp>
        <tr r="B194" s="1"/>
      </tp>
      <tp>
        <v>1004</v>
        <stp/>
        <stp>RT100</stp>
        <stp>LASTHIST</stp>
        <stp>186</stp>
        <tr r="B199" s="1"/>
      </tp>
      <tp>
        <v>1004</v>
        <stp/>
        <stp>RT100</stp>
        <stp>LASTHIST</stp>
        <stp>187</stp>
        <tr r="B200" s="1"/>
      </tp>
      <tp>
        <v>1004</v>
        <stp/>
        <stp>RT100</stp>
        <stp>LASTHIST</stp>
        <stp>184</stp>
        <tr r="B197" s="1"/>
      </tp>
      <tp>
        <v>1004</v>
        <stp/>
        <stp>RT100</stp>
        <stp>LASTHIST</stp>
        <stp>185</stp>
        <tr r="B198" s="1"/>
      </tp>
      <tp>
        <v>1005</v>
        <stp/>
        <stp>RT100</stp>
        <stp>LASTHIST</stp>
        <stp>188</stp>
        <tr r="B201" s="1"/>
      </tp>
      <tp>
        <v>1005</v>
        <stp/>
        <stp>RT100</stp>
        <stp>LASTHIST</stp>
        <stp>189</stp>
        <tr r="B202" s="1"/>
      </tp>
      <tp>
        <v>1005</v>
        <stp/>
        <stp>RT100</stp>
        <stp>LASTHIST</stp>
        <stp>192</stp>
        <tr r="B205" s="1"/>
      </tp>
      <tp>
        <v>1004</v>
        <stp/>
        <stp>RT100</stp>
        <stp>LASTHIST</stp>
        <stp>193</stp>
        <tr r="B206" s="1"/>
      </tp>
      <tp>
        <v>1005</v>
        <stp/>
        <stp>RT100</stp>
        <stp>LASTHIST</stp>
        <stp>190</stp>
        <tr r="B203" s="1"/>
      </tp>
      <tp>
        <v>1004</v>
        <stp/>
        <stp>RT100</stp>
        <stp>LASTHIST</stp>
        <stp>191</stp>
        <tr r="B204" s="1"/>
      </tp>
      <tp>
        <v>1004</v>
        <stp/>
        <stp>RT100</stp>
        <stp>LASTHIST</stp>
        <stp>196</stp>
        <tr r="B209" s="1"/>
      </tp>
      <tp>
        <v>1004</v>
        <stp/>
        <stp>RT100</stp>
        <stp>LASTHIST</stp>
        <stp>197</stp>
        <tr r="B210" s="1"/>
      </tp>
      <tp>
        <v>1004</v>
        <stp/>
        <stp>RT100</stp>
        <stp>LASTHIST</stp>
        <stp>194</stp>
        <tr r="B207" s="1"/>
      </tp>
      <tp>
        <v>1004</v>
        <stp/>
        <stp>RT100</stp>
        <stp>LASTHIST</stp>
        <stp>195</stp>
        <tr r="B208" s="1"/>
      </tp>
      <tp>
        <v>1003</v>
        <stp/>
        <stp>RT100</stp>
        <stp>LASTHIST</stp>
        <stp>198</stp>
        <tr r="B211" s="1"/>
      </tp>
      <tp>
        <v>1003</v>
        <stp/>
        <stp>RT100</stp>
        <stp>LASTHIST</stp>
        <stp>199</stp>
        <tr r="B212" s="1"/>
      </tp>
      <tp t="s">
        <v>1,424,,Fitbit announced it will lay off 13% of its workforce due to disappointing earnings. Its share price has dropped over 80% in the past year and analysts are worried this trend is likely to continue.,</v>
        <stp/>
        <stp>LATESTNEWS</stp>
        <stp>1</stp>
        <tr r="C2" s="2"/>
      </tp>
      <tp t="s">
        <v>1,384,,AT&amp;T announced it is going to launch the evolutionary 5G wireless network in the coming month. The new 5G network is expected to increase data uploading speed by at least 200%.,</v>
        <stp/>
        <stp>LATESTNEWS</stp>
        <stp>3</stp>
        <tr r="C4" s="2"/>
      </tp>
      <tp t="s">
        <v>1,404,,Chinese government announced plans to set up a national incubation centre in Shanghai to provide co-working space, seed funds and acceleration to start-up projects. It also promised to increase funding and subsidies to help start up founders.,</v>
        <stp/>
        <stp>LATESTNEWS</stp>
        <stp>2</stp>
        <tr r="C3" s="2"/>
      </tp>
      <tp t="s">
        <v>1,364,,After dozens of companies, including Apple, Google and Facebook, joined forces with Washington state and Minnesota to fight against the newly announced U.S. travel ban policy on the seven countries, Donald trump finally agreed to reopen U.S. to the visa holders from the countries involved. ,</v>
        <stp/>
        <stp>LATESTNEWS</stp>
        <stp>4</stp>
        <tr r="C5" s="2"/>
      </tp>
      <tp>
        <v>997</v>
        <stp/>
        <stp>RT100</stp>
        <stp>LASTHIST</stp>
        <stp>62</stp>
        <tr r="B75" s="1"/>
      </tp>
      <tp>
        <v>998</v>
        <stp/>
        <stp>RT100</stp>
        <stp>LASTHIST</stp>
        <stp>63</stp>
        <tr r="B76" s="1"/>
      </tp>
      <tp>
        <v>996</v>
        <stp/>
        <stp>RT100</stp>
        <stp>LASTHIST</stp>
        <stp>60</stp>
        <tr r="B73" s="1"/>
      </tp>
      <tp>
        <v>997</v>
        <stp/>
        <stp>RT100</stp>
        <stp>LASTHIST</stp>
        <stp>61</stp>
        <tr r="B74" s="1"/>
      </tp>
      <tp>
        <v>999</v>
        <stp/>
        <stp>RT100</stp>
        <stp>LASTHIST</stp>
        <stp>66</stp>
        <tr r="B79" s="1"/>
      </tp>
      <tp>
        <v>999</v>
        <stp/>
        <stp>RT100</stp>
        <stp>LASTHIST</stp>
        <stp>67</stp>
        <tr r="B80" s="1"/>
      </tp>
      <tp>
        <v>999</v>
        <stp/>
        <stp>RT100</stp>
        <stp>LASTHIST</stp>
        <stp>64</stp>
        <tr r="B77" s="1"/>
      </tp>
      <tp>
        <v>1000</v>
        <stp/>
        <stp>RT100</stp>
        <stp>LASTHIST</stp>
        <stp>65</stp>
        <tr r="B78" s="1"/>
      </tp>
      <tp>
        <v>998</v>
        <stp/>
        <stp>RT100</stp>
        <stp>LASTHIST</stp>
        <stp>68</stp>
        <tr r="B81" s="1"/>
      </tp>
      <tp>
        <v>998</v>
        <stp/>
        <stp>RT100</stp>
        <stp>LASTHIST</stp>
        <stp>69</stp>
        <tr r="B82" s="1"/>
      </tp>
      <tp>
        <v>998</v>
        <stp/>
        <stp>RT100</stp>
        <stp>LASTHIST</stp>
        <stp>72</stp>
        <tr r="B85" s="1"/>
      </tp>
      <tp>
        <v>998</v>
        <stp/>
        <stp>RT100</stp>
        <stp>LASTHIST</stp>
        <stp>73</stp>
        <tr r="B86" s="1"/>
      </tp>
      <tp>
        <v>998</v>
        <stp/>
        <stp>RT100</stp>
        <stp>LASTHIST</stp>
        <stp>70</stp>
        <tr r="B83" s="1"/>
      </tp>
      <tp>
        <v>998</v>
        <stp/>
        <stp>RT100</stp>
        <stp>LASTHIST</stp>
        <stp>71</stp>
        <tr r="B84" s="1"/>
      </tp>
      <tp>
        <v>998</v>
        <stp/>
        <stp>RT100</stp>
        <stp>LASTHIST</stp>
        <stp>76</stp>
        <tr r="B89" s="1"/>
      </tp>
      <tp>
        <v>998</v>
        <stp/>
        <stp>RT100</stp>
        <stp>LASTHIST</stp>
        <stp>77</stp>
        <tr r="B90" s="1"/>
      </tp>
      <tp>
        <v>998</v>
        <stp/>
        <stp>RT100</stp>
        <stp>LASTHIST</stp>
        <stp>74</stp>
        <tr r="B87" s="1"/>
      </tp>
      <tp>
        <v>998</v>
        <stp/>
        <stp>RT100</stp>
        <stp>LASTHIST</stp>
        <stp>75</stp>
        <tr r="B88" s="1"/>
      </tp>
      <tp>
        <v>998</v>
        <stp/>
        <stp>RT100</stp>
        <stp>LASTHIST</stp>
        <stp>78</stp>
        <tr r="B91" s="1"/>
      </tp>
      <tp>
        <v>998</v>
        <stp/>
        <stp>RT100</stp>
        <stp>LASTHIST</stp>
        <stp>79</stp>
        <tr r="B92" s="1"/>
      </tp>
      <tp>
        <v>996</v>
        <stp/>
        <stp>RT100</stp>
        <stp>LASTHIST</stp>
        <stp>42</stp>
        <tr r="B55" s="1"/>
      </tp>
      <tp>
        <v>995</v>
        <stp/>
        <stp>RT100</stp>
        <stp>LASTHIST</stp>
        <stp>43</stp>
        <tr r="B56" s="1"/>
      </tp>
      <tp>
        <v>999</v>
        <stp/>
        <stp>RT100</stp>
        <stp>LASTHIST</stp>
        <stp>40</stp>
        <tr r="B53" s="1"/>
      </tp>
      <tp>
        <v>998</v>
        <stp/>
        <stp>RT100</stp>
        <stp>LASTHIST</stp>
        <stp>41</stp>
        <tr r="B54" s="1"/>
      </tp>
      <tp>
        <v>995</v>
        <stp/>
        <stp>RT100</stp>
        <stp>LASTHIST</stp>
        <stp>46</stp>
        <tr r="B59" s="1"/>
      </tp>
      <tp>
        <v>996</v>
        <stp/>
        <stp>RT100</stp>
        <stp>LASTHIST</stp>
        <stp>47</stp>
        <tr r="B60" s="1"/>
      </tp>
      <tp>
        <v>996</v>
        <stp/>
        <stp>RT100</stp>
        <stp>LASTHIST</stp>
        <stp>44</stp>
        <tr r="B57" s="1"/>
      </tp>
      <tp>
        <v>995</v>
        <stp/>
        <stp>RT100</stp>
        <stp>LASTHIST</stp>
        <stp>45</stp>
        <tr r="B58" s="1"/>
      </tp>
      <tp>
        <v>996</v>
        <stp/>
        <stp>RT100</stp>
        <stp>LASTHIST</stp>
        <stp>48</stp>
        <tr r="B61" s="1"/>
      </tp>
      <tp>
        <v>996</v>
        <stp/>
        <stp>RT100</stp>
        <stp>LASTHIST</stp>
        <stp>49</stp>
        <tr r="B62" s="1"/>
      </tp>
      <tp>
        <v>995</v>
        <stp/>
        <stp>RT100</stp>
        <stp>LASTHIST</stp>
        <stp>52</stp>
        <tr r="B65" s="1"/>
      </tp>
      <tp>
        <v>995</v>
        <stp/>
        <stp>RT100</stp>
        <stp>LASTHIST</stp>
        <stp>53</stp>
        <tr r="B66" s="1"/>
      </tp>
      <tp>
        <v>996</v>
        <stp/>
        <stp>RT100</stp>
        <stp>LASTHIST</stp>
        <stp>50</stp>
        <tr r="B63" s="1"/>
      </tp>
      <tp>
        <v>995</v>
        <stp/>
        <stp>RT100</stp>
        <stp>LASTHIST</stp>
        <stp>51</stp>
        <tr r="B64" s="1"/>
      </tp>
      <tp>
        <v>996</v>
        <stp/>
        <stp>RT100</stp>
        <stp>LASTHIST</stp>
        <stp>56</stp>
        <tr r="B69" s="1"/>
      </tp>
      <tp>
        <v>996</v>
        <stp/>
        <stp>RT100</stp>
        <stp>LASTHIST</stp>
        <stp>57</stp>
        <tr r="B70" s="1"/>
      </tp>
      <tp>
        <v>995</v>
        <stp/>
        <stp>RT100</stp>
        <stp>LASTHIST</stp>
        <stp>54</stp>
        <tr r="B67" s="1"/>
      </tp>
      <tp>
        <v>995</v>
        <stp/>
        <stp>RT100</stp>
        <stp>LASTHIST</stp>
        <stp>55</stp>
        <tr r="B68" s="1"/>
      </tp>
      <tp>
        <v>996</v>
        <stp/>
        <stp>RT100</stp>
        <stp>LASTHIST</stp>
        <stp>58</stp>
        <tr r="B71" s="1"/>
      </tp>
      <tp>
        <v>996</v>
        <stp/>
        <stp>RT100</stp>
        <stp>LASTHIST</stp>
        <stp>59</stp>
        <tr r="B72" s="1"/>
      </tp>
      <tp>
        <v>1003</v>
        <stp/>
        <stp>RT100</stp>
        <stp>LASTHIST</stp>
        <stp>22</stp>
        <tr r="B35" s="1"/>
      </tp>
      <tp>
        <v>1004</v>
        <stp/>
        <stp>RT100</stp>
        <stp>LASTHIST</stp>
        <stp>23</stp>
        <tr r="B36" s="1"/>
      </tp>
      <tp>
        <v>1003</v>
        <stp/>
        <stp>RT100</stp>
        <stp>LASTHIST</stp>
        <stp>20</stp>
        <tr r="B33" s="1"/>
      </tp>
      <tp>
        <v>1003</v>
        <stp/>
        <stp>RT100</stp>
        <stp>LASTHIST</stp>
        <stp>21</stp>
        <tr r="B34" s="1"/>
      </tp>
      <tp>
        <v>1003</v>
        <stp/>
        <stp>RT100</stp>
        <stp>LASTHIST</stp>
        <stp>26</stp>
        <tr r="B39" s="1"/>
      </tp>
      <tp>
        <v>1003</v>
        <stp/>
        <stp>RT100</stp>
        <stp>LASTHIST</stp>
        <stp>27</stp>
        <tr r="B40" s="1"/>
      </tp>
      <tp>
        <v>1004</v>
        <stp/>
        <stp>RT100</stp>
        <stp>LASTHIST</stp>
        <stp>24</stp>
        <tr r="B37" s="1"/>
      </tp>
      <tp>
        <v>1003</v>
        <stp/>
        <stp>RT100</stp>
        <stp>LASTHIST</stp>
        <stp>25</stp>
        <tr r="B38" s="1"/>
      </tp>
      <tp>
        <v>1003</v>
        <stp/>
        <stp>RT100</stp>
        <stp>LASTHIST</stp>
        <stp>28</stp>
        <tr r="B41" s="1"/>
      </tp>
      <tp>
        <v>1003</v>
        <stp/>
        <stp>RT100</stp>
        <stp>LASTHIST</stp>
        <stp>29</stp>
        <tr r="B42" s="1"/>
      </tp>
      <tp>
        <v>1003</v>
        <stp/>
        <stp>RT100</stp>
        <stp>LASTHIST</stp>
        <stp>32</stp>
        <tr r="B45" s="1"/>
      </tp>
      <tp>
        <v>1003</v>
        <stp/>
        <stp>RT100</stp>
        <stp>LASTHIST</stp>
        <stp>33</stp>
        <tr r="B46" s="1"/>
      </tp>
      <tp>
        <v>1003</v>
        <stp/>
        <stp>RT100</stp>
        <stp>LASTHIST</stp>
        <stp>30</stp>
        <tr r="B43" s="1"/>
      </tp>
      <tp>
        <v>1003</v>
        <stp/>
        <stp>RT100</stp>
        <stp>LASTHIST</stp>
        <stp>31</stp>
        <tr r="B44" s="1"/>
      </tp>
      <tp>
        <v>1003</v>
        <stp/>
        <stp>RT100</stp>
        <stp>LASTHIST</stp>
        <stp>36</stp>
        <tr r="B49" s="1"/>
      </tp>
      <tp>
        <v>1002</v>
        <stp/>
        <stp>RT100</stp>
        <stp>LASTHIST</stp>
        <stp>37</stp>
        <tr r="B50" s="1"/>
      </tp>
      <tp>
        <v>1003</v>
        <stp/>
        <stp>RT100</stp>
        <stp>LASTHIST</stp>
        <stp>34</stp>
        <tr r="B47" s="1"/>
      </tp>
      <tp>
        <v>1003</v>
        <stp/>
        <stp>RT100</stp>
        <stp>LASTHIST</stp>
        <stp>35</stp>
        <tr r="B48" s="1"/>
      </tp>
      <tp>
        <v>1002</v>
        <stp/>
        <stp>RT100</stp>
        <stp>LASTHIST</stp>
        <stp>38</stp>
        <tr r="B51" s="1"/>
      </tp>
      <tp>
        <v>1001</v>
        <stp/>
        <stp>RT100</stp>
        <stp>LASTHIST</stp>
        <stp>39</stp>
        <tr r="B52" s="1"/>
      </tp>
      <tp>
        <v>1001</v>
        <stp/>
        <stp>RT100</stp>
        <stp>LASTHIST</stp>
        <stp>12</stp>
        <tr r="B25" s="1"/>
      </tp>
      <tp>
        <v>1001</v>
        <stp/>
        <stp>RT100</stp>
        <stp>LASTHIST</stp>
        <stp>13</stp>
        <tr r="B26" s="1"/>
      </tp>
      <tp>
        <v>1000</v>
        <stp/>
        <stp>RT100</stp>
        <stp>LASTHIST</stp>
        <stp>10</stp>
        <tr r="B23" s="1"/>
      </tp>
      <tp>
        <v>1001</v>
        <stp/>
        <stp>RT100</stp>
        <stp>LASTHIST</stp>
        <stp>11</stp>
        <tr r="B24" s="1"/>
      </tp>
      <tp>
        <v>1001</v>
        <stp/>
        <stp>RT100</stp>
        <stp>LASTHIST</stp>
        <stp>16</stp>
        <tr r="B29" s="1"/>
      </tp>
      <tp>
        <v>1002</v>
        <stp/>
        <stp>RT100</stp>
        <stp>LASTHIST</stp>
        <stp>17</stp>
        <tr r="B30" s="1"/>
      </tp>
      <tp>
        <v>1001</v>
        <stp/>
        <stp>RT100</stp>
        <stp>LASTHIST</stp>
        <stp>14</stp>
        <tr r="B27" s="1"/>
      </tp>
      <tp>
        <v>1001</v>
        <stp/>
        <stp>RT100</stp>
        <stp>LASTHIST</stp>
        <stp>15</stp>
        <tr r="B28" s="1"/>
      </tp>
      <tp>
        <v>1001</v>
        <stp/>
        <stp>RT100</stp>
        <stp>LASTHIST</stp>
        <stp>18</stp>
        <tr r="B31" s="1"/>
      </tp>
      <tp>
        <v>1002</v>
        <stp/>
        <stp>RT100</stp>
        <stp>LASTHIST</stp>
        <stp>19</stp>
        <tr r="B32" s="1"/>
      </tp>
      <tp>
        <v>997</v>
        <stp/>
        <stp>RT100</stp>
        <stp>LASTHIST</stp>
        <stp>82</stp>
        <tr r="B95" s="1"/>
      </tp>
      <tp>
        <v>997</v>
        <stp/>
        <stp>RT100</stp>
        <stp>LASTHIST</stp>
        <stp>83</stp>
        <tr r="B96" s="1"/>
      </tp>
      <tp>
        <v>997</v>
        <stp/>
        <stp>RT100</stp>
        <stp>LASTHIST</stp>
        <stp>80</stp>
        <tr r="B93" s="1"/>
      </tp>
      <tp>
        <v>997</v>
        <stp/>
        <stp>RT100</stp>
        <stp>LASTHIST</stp>
        <stp>81</stp>
        <tr r="B94" s="1"/>
      </tp>
      <tp>
        <v>996</v>
        <stp/>
        <stp>RT100</stp>
        <stp>LASTHIST</stp>
        <stp>86</stp>
        <tr r="B99" s="1"/>
      </tp>
      <tp>
        <v>994</v>
        <stp/>
        <stp>RT100</stp>
        <stp>LASTHIST</stp>
        <stp>87</stp>
        <tr r="B100" s="1"/>
      </tp>
      <tp>
        <v>996</v>
        <stp/>
        <stp>RT100</stp>
        <stp>LASTHIST</stp>
        <stp>84</stp>
        <tr r="B97" s="1"/>
      </tp>
      <tp>
        <v>996</v>
        <stp/>
        <stp>RT100</stp>
        <stp>LASTHIST</stp>
        <stp>85</stp>
        <tr r="B98" s="1"/>
      </tp>
      <tp>
        <v>993</v>
        <stp/>
        <stp>RT100</stp>
        <stp>LASTHIST</stp>
        <stp>88</stp>
        <tr r="B101" s="1"/>
      </tp>
      <tp>
        <v>993</v>
        <stp/>
        <stp>RT100</stp>
        <stp>LASTHIST</stp>
        <stp>89</stp>
        <tr r="B102" s="1"/>
      </tp>
      <tp>
        <v>993</v>
        <stp/>
        <stp>RT100</stp>
        <stp>LASTHIST</stp>
        <stp>92</stp>
        <tr r="B105" s="1"/>
      </tp>
      <tp>
        <v>993</v>
        <stp/>
        <stp>RT100</stp>
        <stp>LASTHIST</stp>
        <stp>93</stp>
        <tr r="B106" s="1"/>
      </tp>
      <tp>
        <v>993</v>
        <stp/>
        <stp>RT100</stp>
        <stp>LASTHIST</stp>
        <stp>90</stp>
        <tr r="B103" s="1"/>
      </tp>
      <tp>
        <v>993</v>
        <stp/>
        <stp>RT100</stp>
        <stp>LASTHIST</stp>
        <stp>91</stp>
        <tr r="B104" s="1"/>
      </tp>
      <tp>
        <v>994</v>
        <stp/>
        <stp>RT100</stp>
        <stp>LASTHIST</stp>
        <stp>96</stp>
        <tr r="B109" s="1"/>
      </tp>
      <tp>
        <v>994</v>
        <stp/>
        <stp>RT100</stp>
        <stp>LASTHIST</stp>
        <stp>97</stp>
        <tr r="B110" s="1"/>
      </tp>
      <tp>
        <v>993</v>
        <stp/>
        <stp>RT100</stp>
        <stp>LASTHIST</stp>
        <stp>94</stp>
        <tr r="B107" s="1"/>
      </tp>
      <tp>
        <v>994</v>
        <stp/>
        <stp>RT100</stp>
        <stp>LASTHIST</stp>
        <stp>95</stp>
        <tr r="B108" s="1"/>
      </tp>
      <tp>
        <v>993</v>
        <stp/>
        <stp>RT100</stp>
        <stp>LASTHIST</stp>
        <stp>98</stp>
        <tr r="B111" s="1"/>
      </tp>
      <tp>
        <v>993</v>
        <stp/>
        <stp>RT100</stp>
        <stp>LASTHIST</stp>
        <stp>99</stp>
        <tr r="B112" s="1"/>
      </tp>
      <tp>
        <v>1013</v>
        <stp/>
        <stp>RT100</stp>
        <stp>LAST</stp>
        <tr r="B8" s="1"/>
        <tr r="B8" s="1"/>
      </tp>
    </main>
  </volType>
</volTypes>
</file>

<file path=xl/_rels/workbook.xml.rels><?xml version="1.0" encoding="UTF-8" standalone="yes"?>
<Relationships xmlns="http://schemas.openxmlformats.org/package/2006/relationships"><Relationship Id="rId8"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Chart!$B$9</c:f>
          <c:strCache>
            <c:ptCount val="1"/>
            <c:pt idx="0">
              <c:v>RT100 Spot Index = 1013</c:v>
            </c:pt>
          </c:strCache>
        </c:strRef>
      </c:tx>
      <c:layout>
        <c:manualLayout>
          <c:xMode val="edge"/>
          <c:yMode val="edge"/>
          <c:x val="5.517618983667185E-2"/>
          <c:y val="1.96948843700932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Futura Std Medium" panose="020B0502020204020303" pitchFamily="34" charset="0"/>
              <a:ea typeface="+mn-ea"/>
              <a:cs typeface="+mn-cs"/>
            </a:defRPr>
          </a:pPr>
          <a:endParaRPr lang="en-US"/>
        </a:p>
      </c:txPr>
    </c:title>
    <c:autoTitleDeleted val="0"/>
    <c:plotArea>
      <c:layout/>
      <c:stockChart>
        <c:ser>
          <c:idx val="4"/>
          <c:order val="0"/>
          <c:tx>
            <c:strRef>
              <c:f>Chart!$J$1</c:f>
              <c:strCache>
                <c:ptCount val="1"/>
                <c:pt idx="0">
                  <c:v>Open</c:v>
                </c:pt>
              </c:strCache>
            </c:strRef>
          </c:tx>
          <c:spPr>
            <a:ln w="19050" cap="rnd">
              <a:noFill/>
              <a:round/>
            </a:ln>
            <a:effectLst/>
          </c:spPr>
          <c:marker>
            <c:symbol val="none"/>
          </c:marker>
          <c:cat>
            <c:numRef>
              <c:f>Chart!$I$2:$I$46</c:f>
              <c:numCache>
                <c:formatCode>0.00</c:formatCode>
                <c:ptCount val="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numCache>
            </c:numRef>
          </c:cat>
          <c:val>
            <c:numRef>
              <c:f>Chart!$J$2:$J$46</c:f>
              <c:numCache>
                <c:formatCode>General</c:formatCode>
                <c:ptCount val="45"/>
                <c:pt idx="0">
                  <c:v>1000</c:v>
                </c:pt>
                <c:pt idx="1">
                  <c:v>1001</c:v>
                </c:pt>
                <c:pt idx="2">
                  <c:v>1003</c:v>
                </c:pt>
                <c:pt idx="3">
                  <c:v>1003</c:v>
                </c:pt>
                <c:pt idx="4">
                  <c:v>998</c:v>
                </c:pt>
                <c:pt idx="5">
                  <c:v>995</c:v>
                </c:pt>
                <c:pt idx="6">
                  <c:v>997</c:v>
                </c:pt>
                <c:pt idx="7">
                  <c:v>998</c:v>
                </c:pt>
                <c:pt idx="8">
                  <c:v>997</c:v>
                </c:pt>
                <c:pt idx="9">
                  <c:v>993</c:v>
                </c:pt>
                <c:pt idx="10">
                  <c:v>991</c:v>
                </c:pt>
                <c:pt idx="11">
                  <c:v>985</c:v>
                </c:pt>
                <c:pt idx="12">
                  <c:v>985</c:v>
                </c:pt>
                <c:pt idx="13">
                  <c:v>990</c:v>
                </c:pt>
                <c:pt idx="14">
                  <c:v>993</c:v>
                </c:pt>
                <c:pt idx="15">
                  <c:v>995</c:v>
                </c:pt>
                <c:pt idx="16">
                  <c:v>998</c:v>
                </c:pt>
                <c:pt idx="17">
                  <c:v>1000</c:v>
                </c:pt>
                <c:pt idx="18">
                  <c:v>1005</c:v>
                </c:pt>
                <c:pt idx="19">
                  <c:v>1004</c:v>
                </c:pt>
                <c:pt idx="20">
                  <c:v>1000</c:v>
                </c:pt>
                <c:pt idx="21">
                  <c:v>1000</c:v>
                </c:pt>
                <c:pt idx="22">
                  <c:v>1001</c:v>
                </c:pt>
                <c:pt idx="23">
                  <c:v>1003</c:v>
                </c:pt>
                <c:pt idx="24">
                  <c:v>1009</c:v>
                </c:pt>
                <c:pt idx="25">
                  <c:v>1008</c:v>
                </c:pt>
                <c:pt idx="26">
                  <c:v>1008</c:v>
                </c:pt>
                <c:pt idx="27">
                  <c:v>1008</c:v>
                </c:pt>
                <c:pt idx="28">
                  <c:v>1010</c:v>
                </c:pt>
                <c:pt idx="29">
                  <c:v>1009</c:v>
                </c:pt>
                <c:pt idx="30">
                  <c:v>1008</c:v>
                </c:pt>
                <c:pt idx="31">
                  <c:v>1008</c:v>
                </c:pt>
                <c:pt idx="32">
                  <c:v>1003</c:v>
                </c:pt>
                <c:pt idx="33">
                  <c:v>1002</c:v>
                </c:pt>
                <c:pt idx="34">
                  <c:v>994</c:v>
                </c:pt>
                <c:pt idx="35">
                  <c:v>995</c:v>
                </c:pt>
                <c:pt idx="36">
                  <c:v>997</c:v>
                </c:pt>
                <c:pt idx="37">
                  <c:v>996</c:v>
                </c:pt>
                <c:pt idx="38">
                  <c:v>1002</c:v>
                </c:pt>
                <c:pt idx="39">
                  <c:v>1004</c:v>
                </c:pt>
                <c:pt idx="40">
                  <c:v>1006</c:v>
                </c:pt>
                <c:pt idx="41">
                  <c:v>1009</c:v>
                </c:pt>
                <c:pt idx="42">
                  <c:v>1010</c:v>
                </c:pt>
                <c:pt idx="43">
                  <c:v>1017</c:v>
                </c:pt>
                <c:pt idx="44">
                  <c:v>1013</c:v>
                </c:pt>
              </c:numCache>
            </c:numRef>
          </c:val>
          <c:smooth val="0"/>
          <c:extLst>
            <c:ext xmlns:c16="http://schemas.microsoft.com/office/drawing/2014/chart" uri="{C3380CC4-5D6E-409C-BE32-E72D297353CC}">
              <c16:uniqueId val="{00000000-A032-47D6-AA0D-0EFA50AE2664}"/>
            </c:ext>
          </c:extLst>
        </c:ser>
        <c:ser>
          <c:idx val="5"/>
          <c:order val="1"/>
          <c:tx>
            <c:strRef>
              <c:f>Chart!$K$1</c:f>
              <c:strCache>
                <c:ptCount val="1"/>
                <c:pt idx="0">
                  <c:v>High</c:v>
                </c:pt>
              </c:strCache>
            </c:strRef>
          </c:tx>
          <c:spPr>
            <a:ln w="19050" cap="rnd">
              <a:noFill/>
              <a:round/>
            </a:ln>
            <a:effectLst/>
          </c:spPr>
          <c:marker>
            <c:symbol val="none"/>
          </c:marker>
          <c:cat>
            <c:numRef>
              <c:f>Chart!$I$2:$I$46</c:f>
              <c:numCache>
                <c:formatCode>0.00</c:formatCode>
                <c:ptCount val="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numCache>
            </c:numRef>
          </c:cat>
          <c:val>
            <c:numRef>
              <c:f>Chart!$K$2:$K$46</c:f>
              <c:numCache>
                <c:formatCode>General</c:formatCode>
                <c:ptCount val="45"/>
                <c:pt idx="0">
                  <c:v>1001</c:v>
                </c:pt>
                <c:pt idx="1">
                  <c:v>1003</c:v>
                </c:pt>
                <c:pt idx="2">
                  <c:v>1004</c:v>
                </c:pt>
                <c:pt idx="3">
                  <c:v>1003</c:v>
                </c:pt>
                <c:pt idx="4">
                  <c:v>998</c:v>
                </c:pt>
                <c:pt idx="5">
                  <c:v>996</c:v>
                </c:pt>
                <c:pt idx="6">
                  <c:v>1000</c:v>
                </c:pt>
                <c:pt idx="7">
                  <c:v>998</c:v>
                </c:pt>
                <c:pt idx="8">
                  <c:v>997</c:v>
                </c:pt>
                <c:pt idx="9">
                  <c:v>994</c:v>
                </c:pt>
                <c:pt idx="10">
                  <c:v>991</c:v>
                </c:pt>
                <c:pt idx="11">
                  <c:v>986</c:v>
                </c:pt>
                <c:pt idx="12">
                  <c:v>990</c:v>
                </c:pt>
                <c:pt idx="13">
                  <c:v>993</c:v>
                </c:pt>
                <c:pt idx="14">
                  <c:v>995</c:v>
                </c:pt>
                <c:pt idx="15">
                  <c:v>997</c:v>
                </c:pt>
                <c:pt idx="16">
                  <c:v>1000</c:v>
                </c:pt>
                <c:pt idx="17">
                  <c:v>1005</c:v>
                </c:pt>
                <c:pt idx="18">
                  <c:v>1005</c:v>
                </c:pt>
                <c:pt idx="19">
                  <c:v>1005</c:v>
                </c:pt>
                <c:pt idx="20">
                  <c:v>1000</c:v>
                </c:pt>
                <c:pt idx="21">
                  <c:v>1001</c:v>
                </c:pt>
                <c:pt idx="22">
                  <c:v>1003</c:v>
                </c:pt>
                <c:pt idx="23">
                  <c:v>1010</c:v>
                </c:pt>
                <c:pt idx="24">
                  <c:v>1009</c:v>
                </c:pt>
                <c:pt idx="25">
                  <c:v>1009</c:v>
                </c:pt>
                <c:pt idx="26">
                  <c:v>1009</c:v>
                </c:pt>
                <c:pt idx="27">
                  <c:v>1010</c:v>
                </c:pt>
                <c:pt idx="28">
                  <c:v>1010</c:v>
                </c:pt>
                <c:pt idx="29">
                  <c:v>1010</c:v>
                </c:pt>
                <c:pt idx="30">
                  <c:v>1009</c:v>
                </c:pt>
                <c:pt idx="31">
                  <c:v>1008</c:v>
                </c:pt>
                <c:pt idx="32">
                  <c:v>1003</c:v>
                </c:pt>
                <c:pt idx="33">
                  <c:v>1003</c:v>
                </c:pt>
                <c:pt idx="34">
                  <c:v>996</c:v>
                </c:pt>
                <c:pt idx="35">
                  <c:v>996</c:v>
                </c:pt>
                <c:pt idx="36">
                  <c:v>997</c:v>
                </c:pt>
                <c:pt idx="37">
                  <c:v>999</c:v>
                </c:pt>
                <c:pt idx="38">
                  <c:v>1003</c:v>
                </c:pt>
                <c:pt idx="39">
                  <c:v>1006</c:v>
                </c:pt>
                <c:pt idx="40">
                  <c:v>1009</c:v>
                </c:pt>
                <c:pt idx="41">
                  <c:v>1010</c:v>
                </c:pt>
                <c:pt idx="42">
                  <c:v>1017</c:v>
                </c:pt>
                <c:pt idx="43">
                  <c:v>1017</c:v>
                </c:pt>
                <c:pt idx="44">
                  <c:v>1014</c:v>
                </c:pt>
              </c:numCache>
            </c:numRef>
          </c:val>
          <c:smooth val="0"/>
          <c:extLst>
            <c:ext xmlns:c16="http://schemas.microsoft.com/office/drawing/2014/chart" uri="{C3380CC4-5D6E-409C-BE32-E72D297353CC}">
              <c16:uniqueId val="{00000001-A032-47D6-AA0D-0EFA50AE2664}"/>
            </c:ext>
          </c:extLst>
        </c:ser>
        <c:ser>
          <c:idx val="6"/>
          <c:order val="2"/>
          <c:tx>
            <c:strRef>
              <c:f>Chart!$L$1</c:f>
              <c:strCache>
                <c:ptCount val="1"/>
                <c:pt idx="0">
                  <c:v>Low</c:v>
                </c:pt>
              </c:strCache>
            </c:strRef>
          </c:tx>
          <c:spPr>
            <a:ln w="19050" cap="rnd">
              <a:noFill/>
              <a:round/>
            </a:ln>
            <a:effectLst/>
          </c:spPr>
          <c:marker>
            <c:symbol val="none"/>
          </c:marker>
          <c:cat>
            <c:numRef>
              <c:f>Chart!$I$2:$I$46</c:f>
              <c:numCache>
                <c:formatCode>0.00</c:formatCode>
                <c:ptCount val="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numCache>
            </c:numRef>
          </c:cat>
          <c:val>
            <c:numRef>
              <c:f>Chart!$L$2:$L$46</c:f>
              <c:numCache>
                <c:formatCode>General</c:formatCode>
                <c:ptCount val="45"/>
                <c:pt idx="0">
                  <c:v>999</c:v>
                </c:pt>
                <c:pt idx="1">
                  <c:v>1001</c:v>
                </c:pt>
                <c:pt idx="2">
                  <c:v>1003</c:v>
                </c:pt>
                <c:pt idx="3">
                  <c:v>999</c:v>
                </c:pt>
                <c:pt idx="4">
                  <c:v>995</c:v>
                </c:pt>
                <c:pt idx="5">
                  <c:v>995</c:v>
                </c:pt>
                <c:pt idx="6">
                  <c:v>997</c:v>
                </c:pt>
                <c:pt idx="7">
                  <c:v>997</c:v>
                </c:pt>
                <c:pt idx="8">
                  <c:v>993</c:v>
                </c:pt>
                <c:pt idx="9">
                  <c:v>992</c:v>
                </c:pt>
                <c:pt idx="10">
                  <c:v>985</c:v>
                </c:pt>
                <c:pt idx="11">
                  <c:v>984</c:v>
                </c:pt>
                <c:pt idx="12">
                  <c:v>985</c:v>
                </c:pt>
                <c:pt idx="13">
                  <c:v>990</c:v>
                </c:pt>
                <c:pt idx="14">
                  <c:v>993</c:v>
                </c:pt>
                <c:pt idx="15">
                  <c:v>995</c:v>
                </c:pt>
                <c:pt idx="16">
                  <c:v>998</c:v>
                </c:pt>
                <c:pt idx="17">
                  <c:v>999</c:v>
                </c:pt>
                <c:pt idx="18">
                  <c:v>1004</c:v>
                </c:pt>
                <c:pt idx="19">
                  <c:v>1002</c:v>
                </c:pt>
                <c:pt idx="20">
                  <c:v>999</c:v>
                </c:pt>
                <c:pt idx="21">
                  <c:v>998</c:v>
                </c:pt>
                <c:pt idx="22">
                  <c:v>1001</c:v>
                </c:pt>
                <c:pt idx="23">
                  <c:v>1002</c:v>
                </c:pt>
                <c:pt idx="24">
                  <c:v>1008</c:v>
                </c:pt>
                <c:pt idx="25">
                  <c:v>1008</c:v>
                </c:pt>
                <c:pt idx="26">
                  <c:v>1008</c:v>
                </c:pt>
                <c:pt idx="27">
                  <c:v>1008</c:v>
                </c:pt>
                <c:pt idx="28">
                  <c:v>1009</c:v>
                </c:pt>
                <c:pt idx="29">
                  <c:v>1007</c:v>
                </c:pt>
                <c:pt idx="30">
                  <c:v>1008</c:v>
                </c:pt>
                <c:pt idx="31">
                  <c:v>1004</c:v>
                </c:pt>
                <c:pt idx="32">
                  <c:v>1001</c:v>
                </c:pt>
                <c:pt idx="33">
                  <c:v>993</c:v>
                </c:pt>
                <c:pt idx="34">
                  <c:v>994</c:v>
                </c:pt>
                <c:pt idx="35">
                  <c:v>995</c:v>
                </c:pt>
                <c:pt idx="36">
                  <c:v>997</c:v>
                </c:pt>
                <c:pt idx="37">
                  <c:v>996</c:v>
                </c:pt>
                <c:pt idx="38">
                  <c:v>1001</c:v>
                </c:pt>
                <c:pt idx="39">
                  <c:v>1002</c:v>
                </c:pt>
                <c:pt idx="40">
                  <c:v>1006</c:v>
                </c:pt>
                <c:pt idx="41">
                  <c:v>1009</c:v>
                </c:pt>
                <c:pt idx="42">
                  <c:v>1010</c:v>
                </c:pt>
                <c:pt idx="43">
                  <c:v>1014</c:v>
                </c:pt>
                <c:pt idx="44">
                  <c:v>1013</c:v>
                </c:pt>
              </c:numCache>
            </c:numRef>
          </c:val>
          <c:smooth val="0"/>
          <c:extLst>
            <c:ext xmlns:c16="http://schemas.microsoft.com/office/drawing/2014/chart" uri="{C3380CC4-5D6E-409C-BE32-E72D297353CC}">
              <c16:uniqueId val="{00000002-A032-47D6-AA0D-0EFA50AE2664}"/>
            </c:ext>
          </c:extLst>
        </c:ser>
        <c:ser>
          <c:idx val="7"/>
          <c:order val="3"/>
          <c:tx>
            <c:strRef>
              <c:f>Chart!$M$1</c:f>
              <c:strCache>
                <c:ptCount val="1"/>
                <c:pt idx="0">
                  <c:v>Close</c:v>
                </c:pt>
              </c:strCache>
            </c:strRef>
          </c:tx>
          <c:spPr>
            <a:ln w="19050" cap="rnd">
              <a:noFill/>
              <a:round/>
            </a:ln>
            <a:effectLst/>
          </c:spPr>
          <c:marker>
            <c:symbol val="none"/>
          </c:marker>
          <c:cat>
            <c:numRef>
              <c:f>Chart!$I$2:$I$46</c:f>
              <c:numCache>
                <c:formatCode>0.00</c:formatCode>
                <c:ptCount val="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numCache>
            </c:numRef>
          </c:cat>
          <c:val>
            <c:numRef>
              <c:f>Chart!$M$2:$M$46</c:f>
              <c:numCache>
                <c:formatCode>General</c:formatCode>
                <c:ptCount val="45"/>
                <c:pt idx="0">
                  <c:v>1000</c:v>
                </c:pt>
                <c:pt idx="1">
                  <c:v>1003</c:v>
                </c:pt>
                <c:pt idx="2">
                  <c:v>1003</c:v>
                </c:pt>
                <c:pt idx="3">
                  <c:v>999</c:v>
                </c:pt>
                <c:pt idx="4">
                  <c:v>996</c:v>
                </c:pt>
                <c:pt idx="5">
                  <c:v>996</c:v>
                </c:pt>
                <c:pt idx="6">
                  <c:v>998</c:v>
                </c:pt>
                <c:pt idx="7">
                  <c:v>997</c:v>
                </c:pt>
                <c:pt idx="8">
                  <c:v>993</c:v>
                </c:pt>
                <c:pt idx="9">
                  <c:v>992</c:v>
                </c:pt>
                <c:pt idx="10">
                  <c:v>985</c:v>
                </c:pt>
                <c:pt idx="11">
                  <c:v>985</c:v>
                </c:pt>
                <c:pt idx="12">
                  <c:v>989</c:v>
                </c:pt>
                <c:pt idx="13">
                  <c:v>993</c:v>
                </c:pt>
                <c:pt idx="14">
                  <c:v>994</c:v>
                </c:pt>
                <c:pt idx="15">
                  <c:v>997</c:v>
                </c:pt>
                <c:pt idx="16">
                  <c:v>1000</c:v>
                </c:pt>
                <c:pt idx="17">
                  <c:v>1004</c:v>
                </c:pt>
                <c:pt idx="18">
                  <c:v>1005</c:v>
                </c:pt>
                <c:pt idx="19">
                  <c:v>1002</c:v>
                </c:pt>
                <c:pt idx="20">
                  <c:v>1000</c:v>
                </c:pt>
                <c:pt idx="21">
                  <c:v>1001</c:v>
                </c:pt>
                <c:pt idx="22">
                  <c:v>1002</c:v>
                </c:pt>
                <c:pt idx="23">
                  <c:v>1010</c:v>
                </c:pt>
                <c:pt idx="24">
                  <c:v>1008</c:v>
                </c:pt>
                <c:pt idx="25">
                  <c:v>1008</c:v>
                </c:pt>
                <c:pt idx="26">
                  <c:v>1008</c:v>
                </c:pt>
                <c:pt idx="27">
                  <c:v>1010</c:v>
                </c:pt>
                <c:pt idx="28">
                  <c:v>1009</c:v>
                </c:pt>
                <c:pt idx="29">
                  <c:v>1007</c:v>
                </c:pt>
                <c:pt idx="30">
                  <c:v>1008</c:v>
                </c:pt>
                <c:pt idx="31">
                  <c:v>1004</c:v>
                </c:pt>
                <c:pt idx="32">
                  <c:v>1002</c:v>
                </c:pt>
                <c:pt idx="33">
                  <c:v>993</c:v>
                </c:pt>
                <c:pt idx="34">
                  <c:v>995</c:v>
                </c:pt>
                <c:pt idx="35">
                  <c:v>996</c:v>
                </c:pt>
                <c:pt idx="36">
                  <c:v>997</c:v>
                </c:pt>
                <c:pt idx="37">
                  <c:v>999</c:v>
                </c:pt>
                <c:pt idx="38">
                  <c:v>1003</c:v>
                </c:pt>
                <c:pt idx="39">
                  <c:v>1006</c:v>
                </c:pt>
                <c:pt idx="40">
                  <c:v>1009</c:v>
                </c:pt>
                <c:pt idx="41">
                  <c:v>1010</c:v>
                </c:pt>
                <c:pt idx="42">
                  <c:v>1016</c:v>
                </c:pt>
                <c:pt idx="43">
                  <c:v>1014</c:v>
                </c:pt>
                <c:pt idx="44">
                  <c:v>1013</c:v>
                </c:pt>
              </c:numCache>
            </c:numRef>
          </c:val>
          <c:smooth val="0"/>
          <c:extLst>
            <c:ext xmlns:c16="http://schemas.microsoft.com/office/drawing/2014/chart" uri="{C3380CC4-5D6E-409C-BE32-E72D297353CC}">
              <c16:uniqueId val="{00000003-A032-47D6-AA0D-0EFA50AE2664}"/>
            </c:ext>
          </c:extLst>
        </c:ser>
        <c:ser>
          <c:idx val="0"/>
          <c:order val="4"/>
          <c:tx>
            <c:strRef>
              <c:f>Chart!$J$1</c:f>
              <c:strCache>
                <c:ptCount val="1"/>
                <c:pt idx="0">
                  <c:v>Open</c:v>
                </c:pt>
              </c:strCache>
            </c:strRef>
          </c:tx>
          <c:spPr>
            <a:ln w="19050" cap="rnd">
              <a:noFill/>
              <a:round/>
            </a:ln>
            <a:effectLst/>
          </c:spPr>
          <c:marker>
            <c:symbol val="none"/>
          </c:marker>
          <c:cat>
            <c:numRef>
              <c:f>Chart!$I$2:$I$46</c:f>
              <c:numCache>
                <c:formatCode>0.00</c:formatCode>
                <c:ptCount val="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numCache>
            </c:numRef>
          </c:cat>
          <c:val>
            <c:numRef>
              <c:f>Chart!$J$2:$J$46</c:f>
              <c:numCache>
                <c:formatCode>General</c:formatCode>
                <c:ptCount val="45"/>
                <c:pt idx="0">
                  <c:v>1000</c:v>
                </c:pt>
                <c:pt idx="1">
                  <c:v>1001</c:v>
                </c:pt>
                <c:pt idx="2">
                  <c:v>1003</c:v>
                </c:pt>
                <c:pt idx="3">
                  <c:v>1003</c:v>
                </c:pt>
                <c:pt idx="4">
                  <c:v>998</c:v>
                </c:pt>
                <c:pt idx="5">
                  <c:v>995</c:v>
                </c:pt>
                <c:pt idx="6">
                  <c:v>997</c:v>
                </c:pt>
                <c:pt idx="7">
                  <c:v>998</c:v>
                </c:pt>
                <c:pt idx="8">
                  <c:v>997</c:v>
                </c:pt>
                <c:pt idx="9">
                  <c:v>993</c:v>
                </c:pt>
                <c:pt idx="10">
                  <c:v>991</c:v>
                </c:pt>
                <c:pt idx="11">
                  <c:v>985</c:v>
                </c:pt>
                <c:pt idx="12">
                  <c:v>985</c:v>
                </c:pt>
                <c:pt idx="13">
                  <c:v>990</c:v>
                </c:pt>
                <c:pt idx="14">
                  <c:v>993</c:v>
                </c:pt>
                <c:pt idx="15">
                  <c:v>995</c:v>
                </c:pt>
                <c:pt idx="16">
                  <c:v>998</c:v>
                </c:pt>
                <c:pt idx="17">
                  <c:v>1000</c:v>
                </c:pt>
                <c:pt idx="18">
                  <c:v>1005</c:v>
                </c:pt>
                <c:pt idx="19">
                  <c:v>1004</c:v>
                </c:pt>
                <c:pt idx="20">
                  <c:v>1000</c:v>
                </c:pt>
                <c:pt idx="21">
                  <c:v>1000</c:v>
                </c:pt>
                <c:pt idx="22">
                  <c:v>1001</c:v>
                </c:pt>
                <c:pt idx="23">
                  <c:v>1003</c:v>
                </c:pt>
                <c:pt idx="24">
                  <c:v>1009</c:v>
                </c:pt>
                <c:pt idx="25">
                  <c:v>1008</c:v>
                </c:pt>
                <c:pt idx="26">
                  <c:v>1008</c:v>
                </c:pt>
                <c:pt idx="27">
                  <c:v>1008</c:v>
                </c:pt>
                <c:pt idx="28">
                  <c:v>1010</c:v>
                </c:pt>
                <c:pt idx="29">
                  <c:v>1009</c:v>
                </c:pt>
                <c:pt idx="30">
                  <c:v>1008</c:v>
                </c:pt>
                <c:pt idx="31">
                  <c:v>1008</c:v>
                </c:pt>
                <c:pt idx="32">
                  <c:v>1003</c:v>
                </c:pt>
                <c:pt idx="33">
                  <c:v>1002</c:v>
                </c:pt>
                <c:pt idx="34">
                  <c:v>994</c:v>
                </c:pt>
                <c:pt idx="35">
                  <c:v>995</c:v>
                </c:pt>
                <c:pt idx="36">
                  <c:v>997</c:v>
                </c:pt>
                <c:pt idx="37">
                  <c:v>996</c:v>
                </c:pt>
                <c:pt idx="38">
                  <c:v>1002</c:v>
                </c:pt>
                <c:pt idx="39">
                  <c:v>1004</c:v>
                </c:pt>
                <c:pt idx="40">
                  <c:v>1006</c:v>
                </c:pt>
                <c:pt idx="41">
                  <c:v>1009</c:v>
                </c:pt>
                <c:pt idx="42">
                  <c:v>1010</c:v>
                </c:pt>
                <c:pt idx="43">
                  <c:v>1017</c:v>
                </c:pt>
                <c:pt idx="44">
                  <c:v>1013</c:v>
                </c:pt>
              </c:numCache>
            </c:numRef>
          </c:val>
          <c:smooth val="0"/>
          <c:extLst>
            <c:ext xmlns:c16="http://schemas.microsoft.com/office/drawing/2014/chart" uri="{C3380CC4-5D6E-409C-BE32-E72D297353CC}">
              <c16:uniqueId val="{00000004-A032-47D6-AA0D-0EFA50AE2664}"/>
            </c:ext>
          </c:extLst>
        </c:ser>
        <c:ser>
          <c:idx val="1"/>
          <c:order val="5"/>
          <c:tx>
            <c:strRef>
              <c:f>Chart!$K$1</c:f>
              <c:strCache>
                <c:ptCount val="1"/>
                <c:pt idx="0">
                  <c:v>High</c:v>
                </c:pt>
              </c:strCache>
            </c:strRef>
          </c:tx>
          <c:spPr>
            <a:ln w="19050" cap="rnd">
              <a:noFill/>
              <a:round/>
            </a:ln>
            <a:effectLst/>
          </c:spPr>
          <c:marker>
            <c:symbol val="none"/>
          </c:marker>
          <c:cat>
            <c:numRef>
              <c:f>Chart!$I$2:$I$46</c:f>
              <c:numCache>
                <c:formatCode>0.00</c:formatCode>
                <c:ptCount val="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numCache>
            </c:numRef>
          </c:cat>
          <c:val>
            <c:numRef>
              <c:f>Chart!$K$2:$K$46</c:f>
              <c:numCache>
                <c:formatCode>General</c:formatCode>
                <c:ptCount val="45"/>
                <c:pt idx="0">
                  <c:v>1001</c:v>
                </c:pt>
                <c:pt idx="1">
                  <c:v>1003</c:v>
                </c:pt>
                <c:pt idx="2">
                  <c:v>1004</c:v>
                </c:pt>
                <c:pt idx="3">
                  <c:v>1003</c:v>
                </c:pt>
                <c:pt idx="4">
                  <c:v>998</c:v>
                </c:pt>
                <c:pt idx="5">
                  <c:v>996</c:v>
                </c:pt>
                <c:pt idx="6">
                  <c:v>1000</c:v>
                </c:pt>
                <c:pt idx="7">
                  <c:v>998</c:v>
                </c:pt>
                <c:pt idx="8">
                  <c:v>997</c:v>
                </c:pt>
                <c:pt idx="9">
                  <c:v>994</c:v>
                </c:pt>
                <c:pt idx="10">
                  <c:v>991</c:v>
                </c:pt>
                <c:pt idx="11">
                  <c:v>986</c:v>
                </c:pt>
                <c:pt idx="12">
                  <c:v>990</c:v>
                </c:pt>
                <c:pt idx="13">
                  <c:v>993</c:v>
                </c:pt>
                <c:pt idx="14">
                  <c:v>995</c:v>
                </c:pt>
                <c:pt idx="15">
                  <c:v>997</c:v>
                </c:pt>
                <c:pt idx="16">
                  <c:v>1000</c:v>
                </c:pt>
                <c:pt idx="17">
                  <c:v>1005</c:v>
                </c:pt>
                <c:pt idx="18">
                  <c:v>1005</c:v>
                </c:pt>
                <c:pt idx="19">
                  <c:v>1005</c:v>
                </c:pt>
                <c:pt idx="20">
                  <c:v>1000</c:v>
                </c:pt>
                <c:pt idx="21">
                  <c:v>1001</c:v>
                </c:pt>
                <c:pt idx="22">
                  <c:v>1003</c:v>
                </c:pt>
                <c:pt idx="23">
                  <c:v>1010</c:v>
                </c:pt>
                <c:pt idx="24">
                  <c:v>1009</c:v>
                </c:pt>
                <c:pt idx="25">
                  <c:v>1009</c:v>
                </c:pt>
                <c:pt idx="26">
                  <c:v>1009</c:v>
                </c:pt>
                <c:pt idx="27">
                  <c:v>1010</c:v>
                </c:pt>
                <c:pt idx="28">
                  <c:v>1010</c:v>
                </c:pt>
                <c:pt idx="29">
                  <c:v>1010</c:v>
                </c:pt>
                <c:pt idx="30">
                  <c:v>1009</c:v>
                </c:pt>
                <c:pt idx="31">
                  <c:v>1008</c:v>
                </c:pt>
                <c:pt idx="32">
                  <c:v>1003</c:v>
                </c:pt>
                <c:pt idx="33">
                  <c:v>1003</c:v>
                </c:pt>
                <c:pt idx="34">
                  <c:v>996</c:v>
                </c:pt>
                <c:pt idx="35">
                  <c:v>996</c:v>
                </c:pt>
                <c:pt idx="36">
                  <c:v>997</c:v>
                </c:pt>
                <c:pt idx="37">
                  <c:v>999</c:v>
                </c:pt>
                <c:pt idx="38">
                  <c:v>1003</c:v>
                </c:pt>
                <c:pt idx="39">
                  <c:v>1006</c:v>
                </c:pt>
                <c:pt idx="40">
                  <c:v>1009</c:v>
                </c:pt>
                <c:pt idx="41">
                  <c:v>1010</c:v>
                </c:pt>
                <c:pt idx="42">
                  <c:v>1017</c:v>
                </c:pt>
                <c:pt idx="43">
                  <c:v>1017</c:v>
                </c:pt>
                <c:pt idx="44">
                  <c:v>1014</c:v>
                </c:pt>
              </c:numCache>
            </c:numRef>
          </c:val>
          <c:smooth val="0"/>
          <c:extLst>
            <c:ext xmlns:c16="http://schemas.microsoft.com/office/drawing/2014/chart" uri="{C3380CC4-5D6E-409C-BE32-E72D297353CC}">
              <c16:uniqueId val="{00000005-A032-47D6-AA0D-0EFA50AE2664}"/>
            </c:ext>
          </c:extLst>
        </c:ser>
        <c:ser>
          <c:idx val="2"/>
          <c:order val="6"/>
          <c:tx>
            <c:strRef>
              <c:f>Chart!$L$1</c:f>
              <c:strCache>
                <c:ptCount val="1"/>
                <c:pt idx="0">
                  <c:v>Low</c:v>
                </c:pt>
              </c:strCache>
            </c:strRef>
          </c:tx>
          <c:spPr>
            <a:ln w="19050" cap="rnd">
              <a:noFill/>
              <a:round/>
            </a:ln>
            <a:effectLst/>
          </c:spPr>
          <c:marker>
            <c:symbol val="none"/>
          </c:marker>
          <c:cat>
            <c:numRef>
              <c:f>Chart!$I$2:$I$46</c:f>
              <c:numCache>
                <c:formatCode>0.00</c:formatCode>
                <c:ptCount val="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numCache>
            </c:numRef>
          </c:cat>
          <c:val>
            <c:numRef>
              <c:f>Chart!$L$2:$L$46</c:f>
              <c:numCache>
                <c:formatCode>General</c:formatCode>
                <c:ptCount val="45"/>
                <c:pt idx="0">
                  <c:v>999</c:v>
                </c:pt>
                <c:pt idx="1">
                  <c:v>1001</c:v>
                </c:pt>
                <c:pt idx="2">
                  <c:v>1003</c:v>
                </c:pt>
                <c:pt idx="3">
                  <c:v>999</c:v>
                </c:pt>
                <c:pt idx="4">
                  <c:v>995</c:v>
                </c:pt>
                <c:pt idx="5">
                  <c:v>995</c:v>
                </c:pt>
                <c:pt idx="6">
                  <c:v>997</c:v>
                </c:pt>
                <c:pt idx="7">
                  <c:v>997</c:v>
                </c:pt>
                <c:pt idx="8">
                  <c:v>993</c:v>
                </c:pt>
                <c:pt idx="9">
                  <c:v>992</c:v>
                </c:pt>
                <c:pt idx="10">
                  <c:v>985</c:v>
                </c:pt>
                <c:pt idx="11">
                  <c:v>984</c:v>
                </c:pt>
                <c:pt idx="12">
                  <c:v>985</c:v>
                </c:pt>
                <c:pt idx="13">
                  <c:v>990</c:v>
                </c:pt>
                <c:pt idx="14">
                  <c:v>993</c:v>
                </c:pt>
                <c:pt idx="15">
                  <c:v>995</c:v>
                </c:pt>
                <c:pt idx="16">
                  <c:v>998</c:v>
                </c:pt>
                <c:pt idx="17">
                  <c:v>999</c:v>
                </c:pt>
                <c:pt idx="18">
                  <c:v>1004</c:v>
                </c:pt>
                <c:pt idx="19">
                  <c:v>1002</c:v>
                </c:pt>
                <c:pt idx="20">
                  <c:v>999</c:v>
                </c:pt>
                <c:pt idx="21">
                  <c:v>998</c:v>
                </c:pt>
                <c:pt idx="22">
                  <c:v>1001</c:v>
                </c:pt>
                <c:pt idx="23">
                  <c:v>1002</c:v>
                </c:pt>
                <c:pt idx="24">
                  <c:v>1008</c:v>
                </c:pt>
                <c:pt idx="25">
                  <c:v>1008</c:v>
                </c:pt>
                <c:pt idx="26">
                  <c:v>1008</c:v>
                </c:pt>
                <c:pt idx="27">
                  <c:v>1008</c:v>
                </c:pt>
                <c:pt idx="28">
                  <c:v>1009</c:v>
                </c:pt>
                <c:pt idx="29">
                  <c:v>1007</c:v>
                </c:pt>
                <c:pt idx="30">
                  <c:v>1008</c:v>
                </c:pt>
                <c:pt idx="31">
                  <c:v>1004</c:v>
                </c:pt>
                <c:pt idx="32">
                  <c:v>1001</c:v>
                </c:pt>
                <c:pt idx="33">
                  <c:v>993</c:v>
                </c:pt>
                <c:pt idx="34">
                  <c:v>994</c:v>
                </c:pt>
                <c:pt idx="35">
                  <c:v>995</c:v>
                </c:pt>
                <c:pt idx="36">
                  <c:v>997</c:v>
                </c:pt>
                <c:pt idx="37">
                  <c:v>996</c:v>
                </c:pt>
                <c:pt idx="38">
                  <c:v>1001</c:v>
                </c:pt>
                <c:pt idx="39">
                  <c:v>1002</c:v>
                </c:pt>
                <c:pt idx="40">
                  <c:v>1006</c:v>
                </c:pt>
                <c:pt idx="41">
                  <c:v>1009</c:v>
                </c:pt>
                <c:pt idx="42">
                  <c:v>1010</c:v>
                </c:pt>
                <c:pt idx="43">
                  <c:v>1014</c:v>
                </c:pt>
                <c:pt idx="44">
                  <c:v>1013</c:v>
                </c:pt>
              </c:numCache>
            </c:numRef>
          </c:val>
          <c:smooth val="0"/>
          <c:extLst>
            <c:ext xmlns:c16="http://schemas.microsoft.com/office/drawing/2014/chart" uri="{C3380CC4-5D6E-409C-BE32-E72D297353CC}">
              <c16:uniqueId val="{00000006-A032-47D6-AA0D-0EFA50AE2664}"/>
            </c:ext>
          </c:extLst>
        </c:ser>
        <c:ser>
          <c:idx val="3"/>
          <c:order val="7"/>
          <c:tx>
            <c:strRef>
              <c:f>Chart!$M$1</c:f>
              <c:strCache>
                <c:ptCount val="1"/>
                <c:pt idx="0">
                  <c:v>Close</c:v>
                </c:pt>
              </c:strCache>
            </c:strRef>
          </c:tx>
          <c:spPr>
            <a:ln w="19050" cap="rnd">
              <a:noFill/>
              <a:round/>
            </a:ln>
            <a:effectLst/>
          </c:spPr>
          <c:marker>
            <c:symbol val="none"/>
          </c:marker>
          <c:cat>
            <c:numRef>
              <c:f>Chart!$I$2:$I$46</c:f>
              <c:numCache>
                <c:formatCode>0.00</c:formatCode>
                <c:ptCount val="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numCache>
            </c:numRef>
          </c:cat>
          <c:val>
            <c:numRef>
              <c:f>Chart!$M$2:$M$46</c:f>
              <c:numCache>
                <c:formatCode>General</c:formatCode>
                <c:ptCount val="45"/>
                <c:pt idx="0">
                  <c:v>1000</c:v>
                </c:pt>
                <c:pt idx="1">
                  <c:v>1003</c:v>
                </c:pt>
                <c:pt idx="2">
                  <c:v>1003</c:v>
                </c:pt>
                <c:pt idx="3">
                  <c:v>999</c:v>
                </c:pt>
                <c:pt idx="4">
                  <c:v>996</c:v>
                </c:pt>
                <c:pt idx="5">
                  <c:v>996</c:v>
                </c:pt>
                <c:pt idx="6">
                  <c:v>998</c:v>
                </c:pt>
                <c:pt idx="7">
                  <c:v>997</c:v>
                </c:pt>
                <c:pt idx="8">
                  <c:v>993</c:v>
                </c:pt>
                <c:pt idx="9">
                  <c:v>992</c:v>
                </c:pt>
                <c:pt idx="10">
                  <c:v>985</c:v>
                </c:pt>
                <c:pt idx="11">
                  <c:v>985</c:v>
                </c:pt>
                <c:pt idx="12">
                  <c:v>989</c:v>
                </c:pt>
                <c:pt idx="13">
                  <c:v>993</c:v>
                </c:pt>
                <c:pt idx="14">
                  <c:v>994</c:v>
                </c:pt>
                <c:pt idx="15">
                  <c:v>997</c:v>
                </c:pt>
                <c:pt idx="16">
                  <c:v>1000</c:v>
                </c:pt>
                <c:pt idx="17">
                  <c:v>1004</c:v>
                </c:pt>
                <c:pt idx="18">
                  <c:v>1005</c:v>
                </c:pt>
                <c:pt idx="19">
                  <c:v>1002</c:v>
                </c:pt>
                <c:pt idx="20">
                  <c:v>1000</c:v>
                </c:pt>
                <c:pt idx="21">
                  <c:v>1001</c:v>
                </c:pt>
                <c:pt idx="22">
                  <c:v>1002</c:v>
                </c:pt>
                <c:pt idx="23">
                  <c:v>1010</c:v>
                </c:pt>
                <c:pt idx="24">
                  <c:v>1008</c:v>
                </c:pt>
                <c:pt idx="25">
                  <c:v>1008</c:v>
                </c:pt>
                <c:pt idx="26">
                  <c:v>1008</c:v>
                </c:pt>
                <c:pt idx="27">
                  <c:v>1010</c:v>
                </c:pt>
                <c:pt idx="28">
                  <c:v>1009</c:v>
                </c:pt>
                <c:pt idx="29">
                  <c:v>1007</c:v>
                </c:pt>
                <c:pt idx="30">
                  <c:v>1008</c:v>
                </c:pt>
                <c:pt idx="31">
                  <c:v>1004</c:v>
                </c:pt>
                <c:pt idx="32">
                  <c:v>1002</c:v>
                </c:pt>
                <c:pt idx="33">
                  <c:v>993</c:v>
                </c:pt>
                <c:pt idx="34">
                  <c:v>995</c:v>
                </c:pt>
                <c:pt idx="35">
                  <c:v>996</c:v>
                </c:pt>
                <c:pt idx="36">
                  <c:v>997</c:v>
                </c:pt>
                <c:pt idx="37">
                  <c:v>999</c:v>
                </c:pt>
                <c:pt idx="38">
                  <c:v>1003</c:v>
                </c:pt>
                <c:pt idx="39">
                  <c:v>1006</c:v>
                </c:pt>
                <c:pt idx="40">
                  <c:v>1009</c:v>
                </c:pt>
                <c:pt idx="41">
                  <c:v>1010</c:v>
                </c:pt>
                <c:pt idx="42">
                  <c:v>1016</c:v>
                </c:pt>
                <c:pt idx="43">
                  <c:v>1014</c:v>
                </c:pt>
                <c:pt idx="44">
                  <c:v>1013</c:v>
                </c:pt>
              </c:numCache>
            </c:numRef>
          </c:val>
          <c:smooth val="0"/>
          <c:extLst>
            <c:ext xmlns:c16="http://schemas.microsoft.com/office/drawing/2014/chart" uri="{C3380CC4-5D6E-409C-BE32-E72D297353CC}">
              <c16:uniqueId val="{00000007-A032-47D6-AA0D-0EFA50AE2664}"/>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242980344"/>
        <c:axId val="242980728"/>
      </c:stockChart>
      <c:catAx>
        <c:axId val="242980344"/>
        <c:scaling>
          <c:orientation val="minMax"/>
        </c:scaling>
        <c:delete val="1"/>
        <c:axPos val="b"/>
        <c:numFmt formatCode="0.00" sourceLinked="1"/>
        <c:majorTickMark val="none"/>
        <c:minorTickMark val="none"/>
        <c:tickLblPos val="nextTo"/>
        <c:crossAx val="242980728"/>
        <c:crosses val="autoZero"/>
        <c:auto val="1"/>
        <c:lblAlgn val="ctr"/>
        <c:lblOffset val="100"/>
        <c:noMultiLvlLbl val="0"/>
      </c:catAx>
      <c:valAx>
        <c:axId val="242980728"/>
        <c:scaling>
          <c:orientation val="minMax"/>
          <c:max val="1027"/>
          <c:min val="97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42980344"/>
        <c:crosses val="autoZero"/>
        <c:crossBetween val="between"/>
        <c:majorUnit val="10"/>
      </c:valAx>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7620</xdr:colOff>
      <xdr:row>6</xdr:row>
      <xdr:rowOff>15241</xdr:rowOff>
    </xdr:from>
    <xdr:to>
      <xdr:col>12</xdr:col>
      <xdr:colOff>0</xdr:colOff>
      <xdr:row>24</xdr:row>
      <xdr:rowOff>358588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19050</xdr:colOff>
          <xdr:row>0</xdr:row>
          <xdr:rowOff>47625</xdr:rowOff>
        </xdr:from>
        <xdr:to>
          <xdr:col>13</xdr:col>
          <xdr:colOff>257175</xdr:colOff>
          <xdr:row>2</xdr:row>
          <xdr:rowOff>114300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2</xdr:row>
          <xdr:rowOff>180975</xdr:rowOff>
        </xdr:from>
        <xdr:to>
          <xdr:col>13</xdr:col>
          <xdr:colOff>257175</xdr:colOff>
          <xdr:row>5</xdr:row>
          <xdr:rowOff>66675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rPr>
                <a:t>Stop</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0.69798</cdr:x>
      <cdr:y>0.02336</cdr:y>
    </cdr:from>
    <cdr:to>
      <cdr:x>0.82656</cdr:x>
      <cdr:y>0.12922</cdr:y>
    </cdr:to>
    <cdr:sp macro="" textlink="Chart!$T$4">
      <cdr:nvSpPr>
        <cdr:cNvPr id="2" name="TextBox 1"/>
        <cdr:cNvSpPr txBox="1"/>
      </cdr:nvSpPr>
      <cdr:spPr>
        <a:xfrm xmlns:a="http://schemas.openxmlformats.org/drawingml/2006/main">
          <a:off x="5067300" y="90375"/>
          <a:ext cx="933450" cy="4095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05397529-9A6C-43BB-A3F5-7EF1A25F0037}" type="TxLink">
            <a:rPr lang="en-CA" sz="1400" b="1">
              <a:solidFill>
                <a:schemeClr val="bg2">
                  <a:lumMod val="25000"/>
                </a:schemeClr>
              </a:solidFill>
              <a:latin typeface="Futura Std Medium" panose="020B0502020204020303" pitchFamily="34" charset="0"/>
            </a:rPr>
            <a:pPr/>
            <a:t>Time Elapsed: 00:00</a:t>
          </a:fld>
          <a:endParaRPr lang="en-CA" sz="1400" b="1">
            <a:solidFill>
              <a:schemeClr val="bg2">
                <a:lumMod val="25000"/>
              </a:schemeClr>
            </a:solidFill>
            <a:latin typeface="Futura Std Medium" panose="020B0502020204020303" pitchFamily="34" charset="0"/>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463"/>
  <sheetViews>
    <sheetView workbookViewId="0">
      <selection activeCell="B5" sqref="B5"/>
    </sheetView>
  </sheetViews>
  <sheetFormatPr defaultColWidth="9.140625" defaultRowHeight="15" x14ac:dyDescent="0.25"/>
  <cols>
    <col min="1" max="1" width="16.5703125" style="1" bestFit="1" customWidth="1"/>
    <col min="2" max="2" width="10.7109375" style="1" bestFit="1" customWidth="1"/>
    <col min="3" max="4" width="9.140625" style="1"/>
    <col min="5" max="5" width="16.5703125" style="1" bestFit="1" customWidth="1"/>
    <col min="6" max="7" width="9.140625" style="1"/>
    <col min="8" max="8" width="7.140625" style="1" customWidth="1"/>
    <col min="9" max="9" width="14.5703125" style="1" customWidth="1"/>
    <col min="10" max="14" width="9.140625" style="1"/>
    <col min="15" max="15" width="15.140625" style="1" customWidth="1"/>
    <col min="16" max="16384" width="9.140625" style="1"/>
  </cols>
  <sheetData>
    <row r="1" spans="1:20" x14ac:dyDescent="0.25">
      <c r="A1" s="3" t="s">
        <v>14</v>
      </c>
      <c r="B1" s="1">
        <v>450</v>
      </c>
      <c r="J1" s="3" t="s">
        <v>2</v>
      </c>
      <c r="K1" s="3" t="s">
        <v>6</v>
      </c>
      <c r="L1" s="3" t="s">
        <v>1</v>
      </c>
      <c r="M1" s="3" t="s">
        <v>0</v>
      </c>
      <c r="O1" s="3" t="s">
        <v>33</v>
      </c>
      <c r="P1" s="1">
        <f>MAX(B14:B463)+10</f>
        <v>1027</v>
      </c>
    </row>
    <row r="2" spans="1:20" x14ac:dyDescent="0.15">
      <c r="A2" s="3" t="s">
        <v>15</v>
      </c>
      <c r="B2" s="1">
        <v>10</v>
      </c>
      <c r="I2" s="2">
        <v>1</v>
      </c>
      <c r="J2" s="1">
        <f>VLOOKUP($I2,$C$14:$G$1000,2,FALSE)</f>
        <v>1000</v>
      </c>
      <c r="K2" s="1">
        <f>VLOOKUP($I2,$C$14:$G$1000,3,FALSE)</f>
        <v>1001</v>
      </c>
      <c r="L2" s="1">
        <f>VLOOKUP($I2,$C$14:$G$10000,4,FALSE)</f>
        <v>999</v>
      </c>
      <c r="M2" s="1">
        <f>VLOOKUP($I2,$C$14:$G$1000,5,FALSE)</f>
        <v>1000</v>
      </c>
      <c r="O2" s="3" t="s">
        <v>34</v>
      </c>
      <c r="P2" s="7">
        <f>SMALL(B14:B463,COUNTIF(B14:B463,0)+1)-10</f>
        <v>974</v>
      </c>
    </row>
    <row r="3" spans="1:20" x14ac:dyDescent="0.25">
      <c r="A3" s="3" t="s">
        <v>3</v>
      </c>
      <c r="B3" s="1">
        <f>B1/B2</f>
        <v>45</v>
      </c>
      <c r="I3" s="2">
        <f>I2+1</f>
        <v>2</v>
      </c>
      <c r="J3" s="1">
        <f t="shared" ref="J3:J46" si="0">VLOOKUP($I3,$C$14:$G$1000,2,FALSE)</f>
        <v>1001</v>
      </c>
      <c r="K3" s="1">
        <f t="shared" ref="K3:K46" si="1">VLOOKUP($I3,$C$14:$G$1000,3,FALSE)</f>
        <v>1003</v>
      </c>
      <c r="L3" s="1">
        <f t="shared" ref="L3:L46" si="2">VLOOKUP($I3,$C$14:$G$10000,4,FALSE)</f>
        <v>1001</v>
      </c>
      <c r="M3" s="1">
        <f t="shared" ref="M3:M46" si="3">VLOOKUP($I3,$C$14:$G$1000,5,FALSE)</f>
        <v>1003</v>
      </c>
      <c r="O3" s="3" t="s">
        <v>35</v>
      </c>
      <c r="P3" s="1">
        <f>IF(P1-P2&gt;50,10,5)</f>
        <v>10</v>
      </c>
    </row>
    <row r="4" spans="1:20" x14ac:dyDescent="0.25">
      <c r="A4" s="3" t="s">
        <v>8</v>
      </c>
      <c r="B4" s="1">
        <f>IF(ISNUMBER(D4),D4,450)</f>
        <v>450</v>
      </c>
      <c r="C4" s="1">
        <f>450-Timeremaining</f>
        <v>0</v>
      </c>
      <c r="D4" s="1">
        <f>RTD("rit2.rtd",,"TIMEREMAINING")</f>
        <v>450</v>
      </c>
      <c r="H4" s="3"/>
      <c r="I4" s="2">
        <f t="shared" ref="I4:I46" si="4">I3+1</f>
        <v>3</v>
      </c>
      <c r="J4" s="1">
        <f t="shared" si="0"/>
        <v>1003</v>
      </c>
      <c r="K4" s="1">
        <f t="shared" si="1"/>
        <v>1004</v>
      </c>
      <c r="L4" s="1">
        <f t="shared" si="2"/>
        <v>1003</v>
      </c>
      <c r="M4" s="1">
        <f t="shared" si="3"/>
        <v>1003</v>
      </c>
      <c r="O4" s="3" t="s">
        <v>9</v>
      </c>
      <c r="P4" s="2">
        <f>C4*4</f>
        <v>0</v>
      </c>
      <c r="Q4" s="1">
        <f>P4/60</f>
        <v>0</v>
      </c>
      <c r="R4" s="1">
        <f>(Q4-INT(Q4))*60</f>
        <v>0</v>
      </c>
      <c r="S4" s="8" t="str">
        <f>TEXT(INT(Q4),"00")&amp;":"&amp;TEXT(R4,"00")</f>
        <v>00:00</v>
      </c>
      <c r="T4" s="9" t="str">
        <f>"Time Elapsed"&amp;": "&amp;mmss</f>
        <v>Time Elapsed: 00:00</v>
      </c>
    </row>
    <row r="5" spans="1:20" x14ac:dyDescent="0.25">
      <c r="A5" s="3" t="s">
        <v>9</v>
      </c>
      <c r="B5" s="1">
        <f>B1-B4</f>
        <v>0</v>
      </c>
      <c r="I5" s="2">
        <f t="shared" si="4"/>
        <v>4</v>
      </c>
      <c r="J5" s="1">
        <f t="shared" si="0"/>
        <v>1003</v>
      </c>
      <c r="K5" s="1">
        <f t="shared" si="1"/>
        <v>1003</v>
      </c>
      <c r="L5" s="1">
        <f t="shared" si="2"/>
        <v>999</v>
      </c>
      <c r="M5" s="1">
        <f t="shared" si="3"/>
        <v>999</v>
      </c>
      <c r="Q5" s="1" t="s">
        <v>36</v>
      </c>
      <c r="R5" s="1" t="s">
        <v>37</v>
      </c>
    </row>
    <row r="6" spans="1:20" x14ac:dyDescent="0.25">
      <c r="A6" s="3" t="s">
        <v>10</v>
      </c>
      <c r="B6" s="1">
        <f>B5/B2</f>
        <v>0</v>
      </c>
      <c r="I6" s="2">
        <f t="shared" si="4"/>
        <v>5</v>
      </c>
      <c r="J6" s="1">
        <f t="shared" si="0"/>
        <v>998</v>
      </c>
      <c r="K6" s="1">
        <f t="shared" si="1"/>
        <v>998</v>
      </c>
      <c r="L6" s="1">
        <f t="shared" si="2"/>
        <v>995</v>
      </c>
      <c r="M6" s="1">
        <f t="shared" si="3"/>
        <v>996</v>
      </c>
    </row>
    <row r="7" spans="1:20" x14ac:dyDescent="0.25">
      <c r="A7" s="3" t="s">
        <v>26</v>
      </c>
      <c r="B7" s="1" t="s">
        <v>29</v>
      </c>
      <c r="E7" s="1">
        <f>IF(0,1000,B8)</f>
        <v>1013</v>
      </c>
      <c r="I7" s="2">
        <f t="shared" si="4"/>
        <v>6</v>
      </c>
      <c r="J7" s="1">
        <f t="shared" si="0"/>
        <v>995</v>
      </c>
      <c r="K7" s="1">
        <f t="shared" si="1"/>
        <v>996</v>
      </c>
      <c r="L7" s="1">
        <f t="shared" si="2"/>
        <v>995</v>
      </c>
      <c r="M7" s="1">
        <f t="shared" si="3"/>
        <v>996</v>
      </c>
    </row>
    <row r="8" spans="1:20" x14ac:dyDescent="0.25">
      <c r="A8" s="3" t="s">
        <v>11</v>
      </c>
      <c r="B8" s="1">
        <f>IF(RTD("rit2.rtd",,B7,"LAST")=0,1000,RTD("rit2.rtd",,B7,"LAST"))</f>
        <v>1013</v>
      </c>
      <c r="C8" s="1">
        <f ca="1">RANDBETWEEN(1,4)</f>
        <v>4</v>
      </c>
      <c r="I8" s="2">
        <f t="shared" si="4"/>
        <v>7</v>
      </c>
      <c r="J8" s="1">
        <f t="shared" si="0"/>
        <v>997</v>
      </c>
      <c r="K8" s="1">
        <f t="shared" si="1"/>
        <v>1000</v>
      </c>
      <c r="L8" s="1">
        <f t="shared" si="2"/>
        <v>997</v>
      </c>
      <c r="M8" s="1">
        <f t="shared" si="3"/>
        <v>998</v>
      </c>
    </row>
    <row r="9" spans="1:20" x14ac:dyDescent="0.25">
      <c r="B9" s="9" t="str">
        <f>"RT100 Spot Index = "&amp;Chart!$B$8&amp;""</f>
        <v>RT100 Spot Index = 1013</v>
      </c>
      <c r="I9" s="2">
        <f t="shared" si="4"/>
        <v>8</v>
      </c>
      <c r="J9" s="1">
        <f t="shared" si="0"/>
        <v>998</v>
      </c>
      <c r="K9" s="1">
        <f t="shared" si="1"/>
        <v>998</v>
      </c>
      <c r="L9" s="1">
        <f t="shared" si="2"/>
        <v>997</v>
      </c>
      <c r="M9" s="1">
        <f t="shared" si="3"/>
        <v>997</v>
      </c>
    </row>
    <row r="10" spans="1:20" x14ac:dyDescent="0.25">
      <c r="I10" s="2">
        <f t="shared" si="4"/>
        <v>9</v>
      </c>
      <c r="J10" s="1">
        <f t="shared" si="0"/>
        <v>997</v>
      </c>
      <c r="K10" s="1">
        <f t="shared" si="1"/>
        <v>997</v>
      </c>
      <c r="L10" s="1">
        <f t="shared" si="2"/>
        <v>993</v>
      </c>
      <c r="M10" s="1">
        <f t="shared" si="3"/>
        <v>993</v>
      </c>
    </row>
    <row r="11" spans="1:20" x14ac:dyDescent="0.25">
      <c r="A11" s="15" t="s">
        <v>12</v>
      </c>
      <c r="B11" s="15"/>
      <c r="C11" s="15"/>
      <c r="D11" s="15"/>
      <c r="E11" s="15"/>
      <c r="F11" s="15"/>
      <c r="G11" s="15"/>
      <c r="I11" s="2">
        <f t="shared" si="4"/>
        <v>10</v>
      </c>
      <c r="J11" s="1">
        <f t="shared" si="0"/>
        <v>993</v>
      </c>
      <c r="K11" s="1">
        <f t="shared" si="1"/>
        <v>994</v>
      </c>
      <c r="L11" s="1">
        <f t="shared" si="2"/>
        <v>992</v>
      </c>
      <c r="M11" s="1">
        <f t="shared" si="3"/>
        <v>992</v>
      </c>
    </row>
    <row r="12" spans="1:20" x14ac:dyDescent="0.25">
      <c r="A12" s="15"/>
      <c r="B12" s="15"/>
      <c r="C12" s="15"/>
      <c r="D12" s="15"/>
      <c r="E12" s="15"/>
      <c r="F12" s="15"/>
      <c r="G12" s="15"/>
      <c r="I12" s="2">
        <f t="shared" si="4"/>
        <v>11</v>
      </c>
      <c r="J12" s="1">
        <f t="shared" si="0"/>
        <v>991</v>
      </c>
      <c r="K12" s="1">
        <f t="shared" si="1"/>
        <v>991</v>
      </c>
      <c r="L12" s="1">
        <f t="shared" si="2"/>
        <v>985</v>
      </c>
      <c r="M12" s="1">
        <f t="shared" si="3"/>
        <v>985</v>
      </c>
    </row>
    <row r="13" spans="1:20" x14ac:dyDescent="0.25">
      <c r="A13" s="3" t="s">
        <v>13</v>
      </c>
      <c r="B13" s="3" t="s">
        <v>4</v>
      </c>
      <c r="C13" s="3" t="s">
        <v>5</v>
      </c>
      <c r="D13" s="3" t="s">
        <v>2</v>
      </c>
      <c r="E13" s="3" t="s">
        <v>6</v>
      </c>
      <c r="F13" s="3" t="s">
        <v>7</v>
      </c>
      <c r="G13" s="3" t="s">
        <v>0</v>
      </c>
      <c r="I13" s="2">
        <f t="shared" si="4"/>
        <v>12</v>
      </c>
      <c r="J13" s="1">
        <f t="shared" si="0"/>
        <v>985</v>
      </c>
      <c r="K13" s="1">
        <f t="shared" si="1"/>
        <v>986</v>
      </c>
      <c r="L13" s="1">
        <f t="shared" si="2"/>
        <v>984</v>
      </c>
      <c r="M13" s="1">
        <f t="shared" si="3"/>
        <v>985</v>
      </c>
    </row>
    <row r="14" spans="1:20" x14ac:dyDescent="0.25">
      <c r="A14" s="1">
        <v>1</v>
      </c>
      <c r="B14" s="1">
        <f>RTD("rit2.rtd",,$B$7,"LASTHIST",A14)</f>
        <v>1000</v>
      </c>
      <c r="C14" s="1">
        <v>1</v>
      </c>
      <c r="D14" s="1">
        <f>IF(B14=0,"",B14)</f>
        <v>1000</v>
      </c>
      <c r="E14" s="1">
        <f>IF(B14=0,"",MAX(B14:B23))</f>
        <v>1001</v>
      </c>
      <c r="F14" s="1">
        <f>IF(B14=0,"",IF(B23&lt;&gt;0,MIN(B14:B23),IF(B22&lt;&gt;0,MIN(B14:B22),IF(B21&lt;&gt;0,MIN(B14:B21),IF(B20&lt;&gt;0,MIN(B14:B20),IF(B19&lt;&gt;0,MIN(B14:B19),IF(B18&lt;&gt;0,MIN(B14:B18),IF(B17&lt;&gt;0,MIN(B14:B17),IF(B16&lt;&gt;0,MIN(B14:B16),IF(B15&lt;&gt;0,MIN(B14:B15),B14))))))))))</f>
        <v>999</v>
      </c>
      <c r="G14" s="1">
        <f>IF(AND(B23=0,F14=""),"",IF(B23=0,$B$8,B23))</f>
        <v>1000</v>
      </c>
      <c r="I14" s="2">
        <f t="shared" si="4"/>
        <v>13</v>
      </c>
      <c r="J14" s="1">
        <f t="shared" si="0"/>
        <v>985</v>
      </c>
      <c r="K14" s="1">
        <f t="shared" si="1"/>
        <v>990</v>
      </c>
      <c r="L14" s="1">
        <f t="shared" si="2"/>
        <v>985</v>
      </c>
      <c r="M14" s="1">
        <f t="shared" si="3"/>
        <v>989</v>
      </c>
    </row>
    <row r="15" spans="1:20" x14ac:dyDescent="0.25">
      <c r="A15" s="1">
        <f>A14+1</f>
        <v>2</v>
      </c>
      <c r="B15" s="1">
        <f>RTD("rit2.rtd",,$B$7,"LASTHIST",A15)</f>
        <v>1000</v>
      </c>
      <c r="C15" s="1">
        <v>1</v>
      </c>
      <c r="I15" s="2">
        <f t="shared" si="4"/>
        <v>14</v>
      </c>
      <c r="J15" s="1">
        <f t="shared" si="0"/>
        <v>990</v>
      </c>
      <c r="K15" s="1">
        <f t="shared" si="1"/>
        <v>993</v>
      </c>
      <c r="L15" s="1">
        <f t="shared" si="2"/>
        <v>990</v>
      </c>
      <c r="M15" s="1">
        <f t="shared" si="3"/>
        <v>993</v>
      </c>
    </row>
    <row r="16" spans="1:20" x14ac:dyDescent="0.25">
      <c r="A16" s="1">
        <f t="shared" ref="A16:A79" si="5">A15+1</f>
        <v>3</v>
      </c>
      <c r="B16" s="1">
        <f>RTD("rit2.rtd",,$B$7,"LASTHIST",A16)</f>
        <v>1000</v>
      </c>
      <c r="C16" s="1">
        <v>1</v>
      </c>
      <c r="I16" s="2">
        <f t="shared" si="4"/>
        <v>15</v>
      </c>
      <c r="J16" s="1">
        <f t="shared" si="0"/>
        <v>993</v>
      </c>
      <c r="K16" s="1">
        <f t="shared" si="1"/>
        <v>995</v>
      </c>
      <c r="L16" s="1">
        <f t="shared" si="2"/>
        <v>993</v>
      </c>
      <c r="M16" s="1">
        <f t="shared" si="3"/>
        <v>994</v>
      </c>
    </row>
    <row r="17" spans="1:13" x14ac:dyDescent="0.25">
      <c r="A17" s="1">
        <f t="shared" si="5"/>
        <v>4</v>
      </c>
      <c r="B17" s="1">
        <f>RTD("rit2.rtd",,$B$7,"LASTHIST",A17)</f>
        <v>1001</v>
      </c>
      <c r="C17" s="1">
        <v>1</v>
      </c>
      <c r="I17" s="2">
        <f t="shared" si="4"/>
        <v>16</v>
      </c>
      <c r="J17" s="1">
        <f t="shared" si="0"/>
        <v>995</v>
      </c>
      <c r="K17" s="1">
        <f t="shared" si="1"/>
        <v>997</v>
      </c>
      <c r="L17" s="1">
        <f t="shared" si="2"/>
        <v>995</v>
      </c>
      <c r="M17" s="1">
        <f t="shared" si="3"/>
        <v>997</v>
      </c>
    </row>
    <row r="18" spans="1:13" x14ac:dyDescent="0.25">
      <c r="A18" s="1">
        <f t="shared" si="5"/>
        <v>5</v>
      </c>
      <c r="B18" s="1">
        <f>RTD("rit2.rtd",,$B$7,"LASTHIST",A18)</f>
        <v>1000</v>
      </c>
      <c r="C18" s="1">
        <v>1</v>
      </c>
      <c r="I18" s="2">
        <f t="shared" si="4"/>
        <v>17</v>
      </c>
      <c r="J18" s="1">
        <f t="shared" si="0"/>
        <v>998</v>
      </c>
      <c r="K18" s="1">
        <f t="shared" si="1"/>
        <v>1000</v>
      </c>
      <c r="L18" s="1">
        <f t="shared" si="2"/>
        <v>998</v>
      </c>
      <c r="M18" s="1">
        <f t="shared" si="3"/>
        <v>1000</v>
      </c>
    </row>
    <row r="19" spans="1:13" x14ac:dyDescent="0.25">
      <c r="A19" s="1">
        <f t="shared" si="5"/>
        <v>6</v>
      </c>
      <c r="B19" s="1">
        <f>RTD("rit2.rtd",,$B$7,"LASTHIST",A19)</f>
        <v>1000</v>
      </c>
      <c r="C19" s="1">
        <v>1</v>
      </c>
      <c r="I19" s="2">
        <f t="shared" si="4"/>
        <v>18</v>
      </c>
      <c r="J19" s="1">
        <f t="shared" si="0"/>
        <v>1000</v>
      </c>
      <c r="K19" s="1">
        <f t="shared" si="1"/>
        <v>1005</v>
      </c>
      <c r="L19" s="1">
        <f t="shared" si="2"/>
        <v>999</v>
      </c>
      <c r="M19" s="1">
        <f t="shared" si="3"/>
        <v>1004</v>
      </c>
    </row>
    <row r="20" spans="1:13" x14ac:dyDescent="0.25">
      <c r="A20" s="1">
        <f t="shared" si="5"/>
        <v>7</v>
      </c>
      <c r="B20" s="1">
        <f>RTD("rit2.rtd",,$B$7,"LASTHIST",A20)</f>
        <v>1000</v>
      </c>
      <c r="C20" s="1">
        <v>1</v>
      </c>
      <c r="I20" s="2">
        <f t="shared" si="4"/>
        <v>19</v>
      </c>
      <c r="J20" s="1">
        <f t="shared" si="0"/>
        <v>1005</v>
      </c>
      <c r="K20" s="1">
        <f t="shared" si="1"/>
        <v>1005</v>
      </c>
      <c r="L20" s="1">
        <f t="shared" si="2"/>
        <v>1004</v>
      </c>
      <c r="M20" s="1">
        <f t="shared" si="3"/>
        <v>1005</v>
      </c>
    </row>
    <row r="21" spans="1:13" x14ac:dyDescent="0.25">
      <c r="A21" s="1">
        <f t="shared" si="5"/>
        <v>8</v>
      </c>
      <c r="B21" s="1">
        <f>RTD("rit2.rtd",,$B$7,"LASTHIST",A21)</f>
        <v>1000</v>
      </c>
      <c r="C21" s="1">
        <v>1</v>
      </c>
      <c r="I21" s="2">
        <f t="shared" si="4"/>
        <v>20</v>
      </c>
      <c r="J21" s="1">
        <f t="shared" si="0"/>
        <v>1004</v>
      </c>
      <c r="K21" s="1">
        <f t="shared" si="1"/>
        <v>1005</v>
      </c>
      <c r="L21" s="1">
        <f t="shared" si="2"/>
        <v>1002</v>
      </c>
      <c r="M21" s="1">
        <f t="shared" si="3"/>
        <v>1002</v>
      </c>
    </row>
    <row r="22" spans="1:13" x14ac:dyDescent="0.25">
      <c r="A22" s="1">
        <f t="shared" si="5"/>
        <v>9</v>
      </c>
      <c r="B22" s="1">
        <f>RTD("rit2.rtd",,$B$7,"LASTHIST",A22)</f>
        <v>999</v>
      </c>
      <c r="C22" s="1">
        <v>1</v>
      </c>
      <c r="I22" s="2">
        <f t="shared" si="4"/>
        <v>21</v>
      </c>
      <c r="J22" s="1">
        <f t="shared" si="0"/>
        <v>1000</v>
      </c>
      <c r="K22" s="1">
        <f t="shared" si="1"/>
        <v>1000</v>
      </c>
      <c r="L22" s="1">
        <f t="shared" si="2"/>
        <v>999</v>
      </c>
      <c r="M22" s="1">
        <f t="shared" si="3"/>
        <v>1000</v>
      </c>
    </row>
    <row r="23" spans="1:13" x14ac:dyDescent="0.25">
      <c r="A23" s="1">
        <f t="shared" si="5"/>
        <v>10</v>
      </c>
      <c r="B23" s="1">
        <f>RTD("rit2.rtd",,$B$7,"LASTHIST",A23)</f>
        <v>1000</v>
      </c>
      <c r="C23" s="1">
        <v>1</v>
      </c>
      <c r="I23" s="2">
        <f t="shared" si="4"/>
        <v>22</v>
      </c>
      <c r="J23" s="1">
        <f t="shared" si="0"/>
        <v>1000</v>
      </c>
      <c r="K23" s="1">
        <f t="shared" si="1"/>
        <v>1001</v>
      </c>
      <c r="L23" s="1">
        <f t="shared" si="2"/>
        <v>998</v>
      </c>
      <c r="M23" s="1">
        <f t="shared" si="3"/>
        <v>1001</v>
      </c>
    </row>
    <row r="24" spans="1:13" x14ac:dyDescent="0.25">
      <c r="A24" s="1">
        <f t="shared" si="5"/>
        <v>11</v>
      </c>
      <c r="B24" s="1">
        <f>RTD("rit2.rtd",,$B$7,"LASTHIST",A24)</f>
        <v>1001</v>
      </c>
      <c r="C24" s="1">
        <f>C14+1</f>
        <v>2</v>
      </c>
      <c r="D24" s="1">
        <f t="shared" ref="D24" si="6">IF(B24=0,"",B24)</f>
        <v>1001</v>
      </c>
      <c r="E24" s="1">
        <f t="shared" ref="E24" si="7">IF(B24=0,"",MAX(B24:B33))</f>
        <v>1003</v>
      </c>
      <c r="F24" s="1">
        <f t="shared" ref="F24" si="8">IF(B24=0,"",IF(B33&lt;&gt;0,MIN(B24:B33),IF(B32&lt;&gt;0,MIN(B24:B32),IF(B31&lt;&gt;0,MIN(B24:B31),IF(B30&lt;&gt;0,MIN(B24:B30),IF(B29&lt;&gt;0,MIN(B24:B29),IF(B28&lt;&gt;0,MIN(B24:B28),IF(B27&lt;&gt;0,MIN(B24:B27),IF(B26&lt;&gt;0,MIN(B24:B26),IF(B25&lt;&gt;0,MIN(B24:B25),B24))))))))))</f>
        <v>1001</v>
      </c>
      <c r="G24" s="1">
        <f t="shared" ref="G24" si="9">IF(AND(B33=0,F24=""),"",IF(B33=0,$B$8,B33))</f>
        <v>1003</v>
      </c>
      <c r="I24" s="2">
        <f t="shared" si="4"/>
        <v>23</v>
      </c>
      <c r="J24" s="1">
        <f t="shared" si="0"/>
        <v>1001</v>
      </c>
      <c r="K24" s="1">
        <f t="shared" si="1"/>
        <v>1003</v>
      </c>
      <c r="L24" s="1">
        <f t="shared" si="2"/>
        <v>1001</v>
      </c>
      <c r="M24" s="1">
        <f t="shared" si="3"/>
        <v>1002</v>
      </c>
    </row>
    <row r="25" spans="1:13" x14ac:dyDescent="0.25">
      <c r="A25" s="1">
        <f t="shared" si="5"/>
        <v>12</v>
      </c>
      <c r="B25" s="1">
        <f>RTD("rit2.rtd",,$B$7,"LASTHIST",A25)</f>
        <v>1001</v>
      </c>
      <c r="C25" s="1">
        <f t="shared" ref="C25:C88" si="10">C15+1</f>
        <v>2</v>
      </c>
      <c r="I25" s="2">
        <f t="shared" si="4"/>
        <v>24</v>
      </c>
      <c r="J25" s="1">
        <f t="shared" si="0"/>
        <v>1003</v>
      </c>
      <c r="K25" s="1">
        <f t="shared" si="1"/>
        <v>1010</v>
      </c>
      <c r="L25" s="1">
        <f t="shared" si="2"/>
        <v>1002</v>
      </c>
      <c r="M25" s="1">
        <f t="shared" si="3"/>
        <v>1010</v>
      </c>
    </row>
    <row r="26" spans="1:13" x14ac:dyDescent="0.25">
      <c r="A26" s="1">
        <f t="shared" si="5"/>
        <v>13</v>
      </c>
      <c r="B26" s="1">
        <f>RTD("rit2.rtd",,$B$7,"LASTHIST",A26)</f>
        <v>1001</v>
      </c>
      <c r="C26" s="1">
        <f t="shared" si="10"/>
        <v>2</v>
      </c>
      <c r="I26" s="2">
        <f t="shared" si="4"/>
        <v>25</v>
      </c>
      <c r="J26" s="1">
        <f t="shared" si="0"/>
        <v>1009</v>
      </c>
      <c r="K26" s="1">
        <f t="shared" si="1"/>
        <v>1009</v>
      </c>
      <c r="L26" s="1">
        <f t="shared" si="2"/>
        <v>1008</v>
      </c>
      <c r="M26" s="1">
        <f t="shared" si="3"/>
        <v>1008</v>
      </c>
    </row>
    <row r="27" spans="1:13" x14ac:dyDescent="0.25">
      <c r="A27" s="1">
        <f t="shared" si="5"/>
        <v>14</v>
      </c>
      <c r="B27" s="1">
        <f>RTD("rit2.rtd",,$B$7,"LASTHIST",A27)</f>
        <v>1001</v>
      </c>
      <c r="C27" s="1">
        <f t="shared" si="10"/>
        <v>2</v>
      </c>
      <c r="I27" s="2">
        <f t="shared" si="4"/>
        <v>26</v>
      </c>
      <c r="J27" s="1">
        <f t="shared" si="0"/>
        <v>1008</v>
      </c>
      <c r="K27" s="1">
        <f t="shared" si="1"/>
        <v>1009</v>
      </c>
      <c r="L27" s="1">
        <f t="shared" si="2"/>
        <v>1008</v>
      </c>
      <c r="M27" s="1">
        <f t="shared" si="3"/>
        <v>1008</v>
      </c>
    </row>
    <row r="28" spans="1:13" x14ac:dyDescent="0.25">
      <c r="A28" s="1">
        <f t="shared" si="5"/>
        <v>15</v>
      </c>
      <c r="B28" s="1">
        <f>RTD("rit2.rtd",,$B$7,"LASTHIST",A28)</f>
        <v>1001</v>
      </c>
      <c r="C28" s="1">
        <f t="shared" si="10"/>
        <v>2</v>
      </c>
      <c r="I28" s="2">
        <f t="shared" si="4"/>
        <v>27</v>
      </c>
      <c r="J28" s="1">
        <f t="shared" si="0"/>
        <v>1008</v>
      </c>
      <c r="K28" s="1">
        <f t="shared" si="1"/>
        <v>1009</v>
      </c>
      <c r="L28" s="1">
        <f t="shared" si="2"/>
        <v>1008</v>
      </c>
      <c r="M28" s="1">
        <f t="shared" si="3"/>
        <v>1008</v>
      </c>
    </row>
    <row r="29" spans="1:13" x14ac:dyDescent="0.25">
      <c r="A29" s="1">
        <f t="shared" si="5"/>
        <v>16</v>
      </c>
      <c r="B29" s="1">
        <f>RTD("rit2.rtd",,$B$7,"LASTHIST",A29)</f>
        <v>1001</v>
      </c>
      <c r="C29" s="1">
        <f t="shared" si="10"/>
        <v>2</v>
      </c>
      <c r="I29" s="2">
        <f t="shared" si="4"/>
        <v>28</v>
      </c>
      <c r="J29" s="1">
        <f t="shared" si="0"/>
        <v>1008</v>
      </c>
      <c r="K29" s="1">
        <f t="shared" si="1"/>
        <v>1010</v>
      </c>
      <c r="L29" s="1">
        <f t="shared" si="2"/>
        <v>1008</v>
      </c>
      <c r="M29" s="1">
        <f t="shared" si="3"/>
        <v>1010</v>
      </c>
    </row>
    <row r="30" spans="1:13" x14ac:dyDescent="0.25">
      <c r="A30" s="1">
        <f t="shared" si="5"/>
        <v>17</v>
      </c>
      <c r="B30" s="1">
        <f>RTD("rit2.rtd",,$B$7,"LASTHIST",A30)</f>
        <v>1002</v>
      </c>
      <c r="C30" s="1">
        <f t="shared" si="10"/>
        <v>2</v>
      </c>
      <c r="I30" s="2">
        <f t="shared" si="4"/>
        <v>29</v>
      </c>
      <c r="J30" s="1">
        <f t="shared" si="0"/>
        <v>1010</v>
      </c>
      <c r="K30" s="1">
        <f t="shared" si="1"/>
        <v>1010</v>
      </c>
      <c r="L30" s="1">
        <f t="shared" si="2"/>
        <v>1009</v>
      </c>
      <c r="M30" s="1">
        <f t="shared" si="3"/>
        <v>1009</v>
      </c>
    </row>
    <row r="31" spans="1:13" x14ac:dyDescent="0.25">
      <c r="A31" s="1">
        <f t="shared" si="5"/>
        <v>18</v>
      </c>
      <c r="B31" s="1">
        <f>RTD("rit2.rtd",,$B$7,"LASTHIST",A31)</f>
        <v>1001</v>
      </c>
      <c r="C31" s="1">
        <f t="shared" si="10"/>
        <v>2</v>
      </c>
      <c r="I31" s="2">
        <f t="shared" si="4"/>
        <v>30</v>
      </c>
      <c r="J31" s="1">
        <f t="shared" si="0"/>
        <v>1009</v>
      </c>
      <c r="K31" s="1">
        <f t="shared" si="1"/>
        <v>1010</v>
      </c>
      <c r="L31" s="1">
        <f t="shared" si="2"/>
        <v>1007</v>
      </c>
      <c r="M31" s="1">
        <f t="shared" si="3"/>
        <v>1007</v>
      </c>
    </row>
    <row r="32" spans="1:13" x14ac:dyDescent="0.25">
      <c r="A32" s="1">
        <f t="shared" si="5"/>
        <v>19</v>
      </c>
      <c r="B32" s="1">
        <f>RTD("rit2.rtd",,$B$7,"LASTHIST",A32)</f>
        <v>1002</v>
      </c>
      <c r="C32" s="1">
        <f t="shared" si="10"/>
        <v>2</v>
      </c>
      <c r="I32" s="2">
        <f t="shared" si="4"/>
        <v>31</v>
      </c>
      <c r="J32" s="1">
        <f t="shared" si="0"/>
        <v>1008</v>
      </c>
      <c r="K32" s="1">
        <f t="shared" si="1"/>
        <v>1009</v>
      </c>
      <c r="L32" s="1">
        <f t="shared" si="2"/>
        <v>1008</v>
      </c>
      <c r="M32" s="1">
        <f t="shared" si="3"/>
        <v>1008</v>
      </c>
    </row>
    <row r="33" spans="1:13" x14ac:dyDescent="0.25">
      <c r="A33" s="1">
        <f t="shared" si="5"/>
        <v>20</v>
      </c>
      <c r="B33" s="1">
        <f>RTD("rit2.rtd",,$B$7,"LASTHIST",A33)</f>
        <v>1003</v>
      </c>
      <c r="C33" s="1">
        <f t="shared" si="10"/>
        <v>2</v>
      </c>
      <c r="I33" s="2">
        <f t="shared" si="4"/>
        <v>32</v>
      </c>
      <c r="J33" s="1">
        <f t="shared" si="0"/>
        <v>1008</v>
      </c>
      <c r="K33" s="1">
        <f t="shared" si="1"/>
        <v>1008</v>
      </c>
      <c r="L33" s="1">
        <f t="shared" si="2"/>
        <v>1004</v>
      </c>
      <c r="M33" s="1">
        <f t="shared" si="3"/>
        <v>1004</v>
      </c>
    </row>
    <row r="34" spans="1:13" x14ac:dyDescent="0.25">
      <c r="A34" s="1">
        <f t="shared" si="5"/>
        <v>21</v>
      </c>
      <c r="B34" s="1">
        <f>RTD("rit2.rtd",,$B$7,"LASTHIST",A34)</f>
        <v>1003</v>
      </c>
      <c r="C34" s="1">
        <f t="shared" si="10"/>
        <v>3</v>
      </c>
      <c r="D34" s="1">
        <f t="shared" ref="D34" si="11">IF(B34=0,"",B34)</f>
        <v>1003</v>
      </c>
      <c r="E34" s="1">
        <f t="shared" ref="E34" si="12">IF(B34=0,"",MAX(B34:B43))</f>
        <v>1004</v>
      </c>
      <c r="F34" s="1">
        <f t="shared" ref="F34" si="13">IF(B34=0,"",IF(B43&lt;&gt;0,MIN(B34:B43),IF(B42&lt;&gt;0,MIN(B34:B42),IF(B41&lt;&gt;0,MIN(B34:B41),IF(B40&lt;&gt;0,MIN(B34:B40),IF(B39&lt;&gt;0,MIN(B34:B39),IF(B38&lt;&gt;0,MIN(B34:B38),IF(B37&lt;&gt;0,MIN(B34:B37),IF(B36&lt;&gt;0,MIN(B34:B36),IF(B35&lt;&gt;0,MIN(B34:B35),B34))))))))))</f>
        <v>1003</v>
      </c>
      <c r="G34" s="1">
        <f t="shared" ref="G34" si="14">IF(AND(B43=0,F34=""),"",IF(B43=0,$B$8,B43))</f>
        <v>1003</v>
      </c>
      <c r="I34" s="2">
        <f t="shared" si="4"/>
        <v>33</v>
      </c>
      <c r="J34" s="1">
        <f t="shared" si="0"/>
        <v>1003</v>
      </c>
      <c r="K34" s="1">
        <f t="shared" si="1"/>
        <v>1003</v>
      </c>
      <c r="L34" s="1">
        <f t="shared" si="2"/>
        <v>1001</v>
      </c>
      <c r="M34" s="1">
        <f t="shared" si="3"/>
        <v>1002</v>
      </c>
    </row>
    <row r="35" spans="1:13" x14ac:dyDescent="0.25">
      <c r="A35" s="1">
        <f t="shared" si="5"/>
        <v>22</v>
      </c>
      <c r="B35" s="1">
        <f>RTD("rit2.rtd",,$B$7,"LASTHIST",A35)</f>
        <v>1003</v>
      </c>
      <c r="C35" s="1">
        <f t="shared" si="10"/>
        <v>3</v>
      </c>
      <c r="I35" s="2">
        <f t="shared" si="4"/>
        <v>34</v>
      </c>
      <c r="J35" s="1">
        <f t="shared" si="0"/>
        <v>1002</v>
      </c>
      <c r="K35" s="1">
        <f t="shared" si="1"/>
        <v>1003</v>
      </c>
      <c r="L35" s="1">
        <f t="shared" si="2"/>
        <v>993</v>
      </c>
      <c r="M35" s="1">
        <f t="shared" si="3"/>
        <v>993</v>
      </c>
    </row>
    <row r="36" spans="1:13" x14ac:dyDescent="0.25">
      <c r="A36" s="1">
        <f t="shared" si="5"/>
        <v>23</v>
      </c>
      <c r="B36" s="1">
        <f>RTD("rit2.rtd",,$B$7,"LASTHIST",A36)</f>
        <v>1004</v>
      </c>
      <c r="C36" s="1">
        <f t="shared" si="10"/>
        <v>3</v>
      </c>
      <c r="I36" s="2">
        <f t="shared" si="4"/>
        <v>35</v>
      </c>
      <c r="J36" s="1">
        <f t="shared" si="0"/>
        <v>994</v>
      </c>
      <c r="K36" s="1">
        <f t="shared" si="1"/>
        <v>996</v>
      </c>
      <c r="L36" s="1">
        <f t="shared" si="2"/>
        <v>994</v>
      </c>
      <c r="M36" s="1">
        <f t="shared" si="3"/>
        <v>995</v>
      </c>
    </row>
    <row r="37" spans="1:13" x14ac:dyDescent="0.25">
      <c r="A37" s="1">
        <f t="shared" si="5"/>
        <v>24</v>
      </c>
      <c r="B37" s="1">
        <f>RTD("rit2.rtd",,$B$7,"LASTHIST",A37)</f>
        <v>1004</v>
      </c>
      <c r="C37" s="1">
        <f t="shared" si="10"/>
        <v>3</v>
      </c>
      <c r="I37" s="2">
        <f t="shared" si="4"/>
        <v>36</v>
      </c>
      <c r="J37" s="1">
        <f t="shared" si="0"/>
        <v>995</v>
      </c>
      <c r="K37" s="1">
        <f t="shared" si="1"/>
        <v>996</v>
      </c>
      <c r="L37" s="1">
        <f t="shared" si="2"/>
        <v>995</v>
      </c>
      <c r="M37" s="1">
        <f t="shared" si="3"/>
        <v>996</v>
      </c>
    </row>
    <row r="38" spans="1:13" x14ac:dyDescent="0.25">
      <c r="A38" s="1">
        <f t="shared" si="5"/>
        <v>25</v>
      </c>
      <c r="B38" s="1">
        <f>RTD("rit2.rtd",,$B$7,"LASTHIST",A38)</f>
        <v>1003</v>
      </c>
      <c r="C38" s="1">
        <f t="shared" si="10"/>
        <v>3</v>
      </c>
      <c r="I38" s="2">
        <f t="shared" si="4"/>
        <v>37</v>
      </c>
      <c r="J38" s="1">
        <f t="shared" si="0"/>
        <v>997</v>
      </c>
      <c r="K38" s="1">
        <f t="shared" si="1"/>
        <v>997</v>
      </c>
      <c r="L38" s="1">
        <f t="shared" si="2"/>
        <v>997</v>
      </c>
      <c r="M38" s="1">
        <f t="shared" si="3"/>
        <v>997</v>
      </c>
    </row>
    <row r="39" spans="1:13" x14ac:dyDescent="0.25">
      <c r="A39" s="1">
        <f t="shared" si="5"/>
        <v>26</v>
      </c>
      <c r="B39" s="1">
        <f>RTD("rit2.rtd",,$B$7,"LASTHIST",A39)</f>
        <v>1003</v>
      </c>
      <c r="C39" s="1">
        <f t="shared" si="10"/>
        <v>3</v>
      </c>
      <c r="I39" s="2">
        <f t="shared" si="4"/>
        <v>38</v>
      </c>
      <c r="J39" s="1">
        <f t="shared" si="0"/>
        <v>996</v>
      </c>
      <c r="K39" s="1">
        <f t="shared" si="1"/>
        <v>999</v>
      </c>
      <c r="L39" s="1">
        <f t="shared" si="2"/>
        <v>996</v>
      </c>
      <c r="M39" s="1">
        <f t="shared" si="3"/>
        <v>999</v>
      </c>
    </row>
    <row r="40" spans="1:13" x14ac:dyDescent="0.25">
      <c r="A40" s="1">
        <f t="shared" si="5"/>
        <v>27</v>
      </c>
      <c r="B40" s="1">
        <f>RTD("rit2.rtd",,$B$7,"LASTHIST",A40)</f>
        <v>1003</v>
      </c>
      <c r="C40" s="1">
        <f t="shared" si="10"/>
        <v>3</v>
      </c>
      <c r="I40" s="2">
        <f t="shared" si="4"/>
        <v>39</v>
      </c>
      <c r="J40" s="1">
        <f t="shared" si="0"/>
        <v>1002</v>
      </c>
      <c r="K40" s="1">
        <f t="shared" si="1"/>
        <v>1003</v>
      </c>
      <c r="L40" s="1">
        <f t="shared" si="2"/>
        <v>1001</v>
      </c>
      <c r="M40" s="1">
        <f t="shared" si="3"/>
        <v>1003</v>
      </c>
    </row>
    <row r="41" spans="1:13" x14ac:dyDescent="0.25">
      <c r="A41" s="1">
        <f t="shared" si="5"/>
        <v>28</v>
      </c>
      <c r="B41" s="1">
        <f>RTD("rit2.rtd",,$B$7,"LASTHIST",A41)</f>
        <v>1003</v>
      </c>
      <c r="C41" s="1">
        <f t="shared" si="10"/>
        <v>3</v>
      </c>
      <c r="I41" s="2">
        <f t="shared" si="4"/>
        <v>40</v>
      </c>
      <c r="J41" s="1">
        <f t="shared" si="0"/>
        <v>1004</v>
      </c>
      <c r="K41" s="1">
        <f t="shared" si="1"/>
        <v>1006</v>
      </c>
      <c r="L41" s="1">
        <f t="shared" si="2"/>
        <v>1002</v>
      </c>
      <c r="M41" s="1">
        <f t="shared" si="3"/>
        <v>1006</v>
      </c>
    </row>
    <row r="42" spans="1:13" x14ac:dyDescent="0.25">
      <c r="A42" s="1">
        <f t="shared" si="5"/>
        <v>29</v>
      </c>
      <c r="B42" s="1">
        <f>RTD("rit2.rtd",,$B$7,"LASTHIST",A42)</f>
        <v>1003</v>
      </c>
      <c r="C42" s="1">
        <f t="shared" si="10"/>
        <v>3</v>
      </c>
      <c r="I42" s="2">
        <f t="shared" si="4"/>
        <v>41</v>
      </c>
      <c r="J42" s="1">
        <f t="shared" si="0"/>
        <v>1006</v>
      </c>
      <c r="K42" s="1">
        <f t="shared" si="1"/>
        <v>1009</v>
      </c>
      <c r="L42" s="1">
        <f t="shared" si="2"/>
        <v>1006</v>
      </c>
      <c r="M42" s="1">
        <f t="shared" si="3"/>
        <v>1009</v>
      </c>
    </row>
    <row r="43" spans="1:13" x14ac:dyDescent="0.25">
      <c r="A43" s="1">
        <f t="shared" si="5"/>
        <v>30</v>
      </c>
      <c r="B43" s="1">
        <f>RTD("rit2.rtd",,$B$7,"LASTHIST",A43)</f>
        <v>1003</v>
      </c>
      <c r="C43" s="1">
        <f t="shared" si="10"/>
        <v>3</v>
      </c>
      <c r="I43" s="2">
        <f t="shared" si="4"/>
        <v>42</v>
      </c>
      <c r="J43" s="1">
        <f t="shared" si="0"/>
        <v>1009</v>
      </c>
      <c r="K43" s="1">
        <f t="shared" si="1"/>
        <v>1010</v>
      </c>
      <c r="L43" s="1">
        <f t="shared" si="2"/>
        <v>1009</v>
      </c>
      <c r="M43" s="1">
        <f t="shared" si="3"/>
        <v>1010</v>
      </c>
    </row>
    <row r="44" spans="1:13" x14ac:dyDescent="0.25">
      <c r="A44" s="1">
        <f t="shared" si="5"/>
        <v>31</v>
      </c>
      <c r="B44" s="1">
        <f>RTD("rit2.rtd",,$B$7,"LASTHIST",A44)</f>
        <v>1003</v>
      </c>
      <c r="C44" s="1">
        <f t="shared" si="10"/>
        <v>4</v>
      </c>
      <c r="D44" s="1">
        <f t="shared" ref="D44" si="15">IF(B44=0,"",B44)</f>
        <v>1003</v>
      </c>
      <c r="E44" s="1">
        <f t="shared" ref="E44" si="16">IF(B44=0,"",MAX(B44:B53))</f>
        <v>1003</v>
      </c>
      <c r="F44" s="1">
        <f t="shared" ref="F44" si="17">IF(B44=0,"",IF(B53&lt;&gt;0,MIN(B44:B53),IF(B52&lt;&gt;0,MIN(B44:B52),IF(B51&lt;&gt;0,MIN(B44:B51),IF(B50&lt;&gt;0,MIN(B44:B50),IF(B49&lt;&gt;0,MIN(B44:B49),IF(B48&lt;&gt;0,MIN(B44:B48),IF(B47&lt;&gt;0,MIN(B44:B47),IF(B46&lt;&gt;0,MIN(B44:B46),IF(B45&lt;&gt;0,MIN(B44:B45),B44))))))))))</f>
        <v>999</v>
      </c>
      <c r="G44" s="1">
        <f t="shared" ref="G44" si="18">IF(AND(B53=0,F44=""),"",IF(B53=0,$B$8,B53))</f>
        <v>999</v>
      </c>
      <c r="I44" s="2">
        <f t="shared" si="4"/>
        <v>43</v>
      </c>
      <c r="J44" s="1">
        <f t="shared" si="0"/>
        <v>1010</v>
      </c>
      <c r="K44" s="1">
        <f t="shared" si="1"/>
        <v>1017</v>
      </c>
      <c r="L44" s="1">
        <f t="shared" si="2"/>
        <v>1010</v>
      </c>
      <c r="M44" s="1">
        <f t="shared" si="3"/>
        <v>1016</v>
      </c>
    </row>
    <row r="45" spans="1:13" x14ac:dyDescent="0.25">
      <c r="A45" s="1">
        <f t="shared" si="5"/>
        <v>32</v>
      </c>
      <c r="B45" s="1">
        <f>RTD("rit2.rtd",,$B$7,"LASTHIST",A45)</f>
        <v>1003</v>
      </c>
      <c r="C45" s="1">
        <f t="shared" si="10"/>
        <v>4</v>
      </c>
      <c r="I45" s="2">
        <f t="shared" si="4"/>
        <v>44</v>
      </c>
      <c r="J45" s="1">
        <f t="shared" si="0"/>
        <v>1017</v>
      </c>
      <c r="K45" s="1">
        <f t="shared" si="1"/>
        <v>1017</v>
      </c>
      <c r="L45" s="1">
        <f t="shared" si="2"/>
        <v>1014</v>
      </c>
      <c r="M45" s="1">
        <f t="shared" si="3"/>
        <v>1014</v>
      </c>
    </row>
    <row r="46" spans="1:13" x14ac:dyDescent="0.25">
      <c r="A46" s="1">
        <f t="shared" si="5"/>
        <v>33</v>
      </c>
      <c r="B46" s="1">
        <f>RTD("rit2.rtd",,$B$7,"LASTHIST",A46)</f>
        <v>1003</v>
      </c>
      <c r="C46" s="1">
        <f t="shared" si="10"/>
        <v>4</v>
      </c>
      <c r="I46" s="2">
        <f t="shared" si="4"/>
        <v>45</v>
      </c>
      <c r="J46" s="1">
        <f t="shared" si="0"/>
        <v>1013</v>
      </c>
      <c r="K46" s="1">
        <f t="shared" si="1"/>
        <v>1014</v>
      </c>
      <c r="L46" s="1">
        <f t="shared" si="2"/>
        <v>1013</v>
      </c>
      <c r="M46" s="1">
        <f t="shared" si="3"/>
        <v>1013</v>
      </c>
    </row>
    <row r="47" spans="1:13" x14ac:dyDescent="0.25">
      <c r="A47" s="1">
        <f t="shared" si="5"/>
        <v>34</v>
      </c>
      <c r="B47" s="1">
        <f>RTD("rit2.rtd",,$B$7,"LASTHIST",A47)</f>
        <v>1003</v>
      </c>
      <c r="C47" s="1">
        <f t="shared" si="10"/>
        <v>4</v>
      </c>
      <c r="I47" s="2"/>
    </row>
    <row r="48" spans="1:13" x14ac:dyDescent="0.25">
      <c r="A48" s="1">
        <f t="shared" si="5"/>
        <v>35</v>
      </c>
      <c r="B48" s="1">
        <f>RTD("rit2.rtd",,$B$7,"LASTHIST",A48)</f>
        <v>1003</v>
      </c>
      <c r="C48" s="1">
        <f t="shared" si="10"/>
        <v>4</v>
      </c>
      <c r="I48" s="2"/>
    </row>
    <row r="49" spans="1:9" x14ac:dyDescent="0.25">
      <c r="A49" s="1">
        <f t="shared" si="5"/>
        <v>36</v>
      </c>
      <c r="B49" s="1">
        <f>RTD("rit2.rtd",,$B$7,"LASTHIST",A49)</f>
        <v>1003</v>
      </c>
      <c r="C49" s="1">
        <f t="shared" si="10"/>
        <v>4</v>
      </c>
      <c r="I49" s="2"/>
    </row>
    <row r="50" spans="1:9" x14ac:dyDescent="0.25">
      <c r="A50" s="1">
        <f t="shared" si="5"/>
        <v>37</v>
      </c>
      <c r="B50" s="1">
        <f>RTD("rit2.rtd",,$B$7,"LASTHIST",A50)</f>
        <v>1002</v>
      </c>
      <c r="C50" s="1">
        <f t="shared" si="10"/>
        <v>4</v>
      </c>
      <c r="I50" s="2"/>
    </row>
    <row r="51" spans="1:9" x14ac:dyDescent="0.25">
      <c r="A51" s="1">
        <f t="shared" si="5"/>
        <v>38</v>
      </c>
      <c r="B51" s="1">
        <f>RTD("rit2.rtd",,$B$7,"LASTHIST",A51)</f>
        <v>1002</v>
      </c>
      <c r="C51" s="1">
        <f t="shared" si="10"/>
        <v>4</v>
      </c>
      <c r="I51" s="2"/>
    </row>
    <row r="52" spans="1:9" x14ac:dyDescent="0.25">
      <c r="A52" s="1">
        <f t="shared" si="5"/>
        <v>39</v>
      </c>
      <c r="B52" s="1">
        <f>RTD("rit2.rtd",,$B$7,"LASTHIST",A52)</f>
        <v>1001</v>
      </c>
      <c r="C52" s="1">
        <f t="shared" si="10"/>
        <v>4</v>
      </c>
      <c r="I52" s="2"/>
    </row>
    <row r="53" spans="1:9" x14ac:dyDescent="0.25">
      <c r="A53" s="1">
        <f t="shared" si="5"/>
        <v>40</v>
      </c>
      <c r="B53" s="1">
        <f>RTD("rit2.rtd",,$B$7,"LASTHIST",A53)</f>
        <v>999</v>
      </c>
      <c r="C53" s="1">
        <f t="shared" si="10"/>
        <v>4</v>
      </c>
      <c r="I53" s="2"/>
    </row>
    <row r="54" spans="1:9" x14ac:dyDescent="0.25">
      <c r="A54" s="1">
        <f t="shared" si="5"/>
        <v>41</v>
      </c>
      <c r="B54" s="1">
        <f>RTD("rit2.rtd",,$B$7,"LASTHIST",A54)</f>
        <v>998</v>
      </c>
      <c r="C54" s="1">
        <f t="shared" si="10"/>
        <v>5</v>
      </c>
      <c r="D54" s="1">
        <f t="shared" ref="D54" si="19">IF(B54=0,"",B54)</f>
        <v>998</v>
      </c>
      <c r="E54" s="1">
        <f t="shared" ref="E54" si="20">IF(B54=0,"",MAX(B54:B63))</f>
        <v>998</v>
      </c>
      <c r="F54" s="1">
        <f t="shared" ref="F54" si="21">IF(B54=0,"",IF(B63&lt;&gt;0,MIN(B54:B63),IF(B62&lt;&gt;0,MIN(B54:B62),IF(B61&lt;&gt;0,MIN(B54:B61),IF(B60&lt;&gt;0,MIN(B54:B60),IF(B59&lt;&gt;0,MIN(B54:B59),IF(B58&lt;&gt;0,MIN(B54:B58),IF(B57&lt;&gt;0,MIN(B54:B57),IF(B56&lt;&gt;0,MIN(B54:B56),IF(B55&lt;&gt;0,MIN(B54:B55),B54))))))))))</f>
        <v>995</v>
      </c>
      <c r="G54" s="1">
        <f t="shared" ref="G54" si="22">IF(AND(B63=0,F54=""),"",IF(B63=0,$B$8,B63))</f>
        <v>996</v>
      </c>
      <c r="I54" s="2"/>
    </row>
    <row r="55" spans="1:9" x14ac:dyDescent="0.25">
      <c r="A55" s="1">
        <f t="shared" si="5"/>
        <v>42</v>
      </c>
      <c r="B55" s="1">
        <f>RTD("rit2.rtd",,$B$7,"LASTHIST",A55)</f>
        <v>996</v>
      </c>
      <c r="C55" s="1">
        <f t="shared" si="10"/>
        <v>5</v>
      </c>
      <c r="I55" s="2"/>
    </row>
    <row r="56" spans="1:9" x14ac:dyDescent="0.25">
      <c r="A56" s="1">
        <f t="shared" si="5"/>
        <v>43</v>
      </c>
      <c r="B56" s="1">
        <f>RTD("rit2.rtd",,$B$7,"LASTHIST",A56)</f>
        <v>995</v>
      </c>
      <c r="C56" s="1">
        <f t="shared" si="10"/>
        <v>5</v>
      </c>
      <c r="I56" s="2"/>
    </row>
    <row r="57" spans="1:9" x14ac:dyDescent="0.25">
      <c r="A57" s="1">
        <f t="shared" si="5"/>
        <v>44</v>
      </c>
      <c r="B57" s="1">
        <f>RTD("rit2.rtd",,$B$7,"LASTHIST",A57)</f>
        <v>996</v>
      </c>
      <c r="C57" s="1">
        <f t="shared" si="10"/>
        <v>5</v>
      </c>
      <c r="I57" s="2"/>
    </row>
    <row r="58" spans="1:9" x14ac:dyDescent="0.25">
      <c r="A58" s="1">
        <f t="shared" si="5"/>
        <v>45</v>
      </c>
      <c r="B58" s="1">
        <f>RTD("rit2.rtd",,$B$7,"LASTHIST",A58)</f>
        <v>995</v>
      </c>
      <c r="C58" s="1">
        <f t="shared" si="10"/>
        <v>5</v>
      </c>
      <c r="I58" s="2"/>
    </row>
    <row r="59" spans="1:9" x14ac:dyDescent="0.25">
      <c r="A59" s="1">
        <f t="shared" si="5"/>
        <v>46</v>
      </c>
      <c r="B59" s="1">
        <f>RTD("rit2.rtd",,$B$7,"LASTHIST",A59)</f>
        <v>995</v>
      </c>
      <c r="C59" s="1">
        <f t="shared" si="10"/>
        <v>5</v>
      </c>
      <c r="I59" s="2"/>
    </row>
    <row r="60" spans="1:9" x14ac:dyDescent="0.25">
      <c r="A60" s="1">
        <f t="shared" si="5"/>
        <v>47</v>
      </c>
      <c r="B60" s="1">
        <f>RTD("rit2.rtd",,$B$7,"LASTHIST",A60)</f>
        <v>996</v>
      </c>
      <c r="C60" s="1">
        <f t="shared" si="10"/>
        <v>5</v>
      </c>
      <c r="I60" s="2"/>
    </row>
    <row r="61" spans="1:9" x14ac:dyDescent="0.25">
      <c r="A61" s="1">
        <f t="shared" si="5"/>
        <v>48</v>
      </c>
      <c r="B61" s="1">
        <f>RTD("rit2.rtd",,$B$7,"LASTHIST",A61)</f>
        <v>996</v>
      </c>
      <c r="C61" s="1">
        <f t="shared" si="10"/>
        <v>5</v>
      </c>
      <c r="I61" s="2"/>
    </row>
    <row r="62" spans="1:9" x14ac:dyDescent="0.25">
      <c r="A62" s="1">
        <f t="shared" si="5"/>
        <v>49</v>
      </c>
      <c r="B62" s="1">
        <f>RTD("rit2.rtd",,$B$7,"LASTHIST",A62)</f>
        <v>996</v>
      </c>
      <c r="C62" s="1">
        <f t="shared" si="10"/>
        <v>5</v>
      </c>
      <c r="I62" s="2"/>
    </row>
    <row r="63" spans="1:9" x14ac:dyDescent="0.25">
      <c r="A63" s="1">
        <f t="shared" si="5"/>
        <v>50</v>
      </c>
      <c r="B63" s="1">
        <f>RTD("rit2.rtd",,$B$7,"LASTHIST",A63)</f>
        <v>996</v>
      </c>
      <c r="C63" s="1">
        <f t="shared" si="10"/>
        <v>5</v>
      </c>
      <c r="I63" s="2"/>
    </row>
    <row r="64" spans="1:9" x14ac:dyDescent="0.25">
      <c r="A64" s="1">
        <f t="shared" si="5"/>
        <v>51</v>
      </c>
      <c r="B64" s="1">
        <f>RTD("rit2.rtd",,$B$7,"LASTHIST",A64)</f>
        <v>995</v>
      </c>
      <c r="C64" s="1">
        <f t="shared" si="10"/>
        <v>6</v>
      </c>
      <c r="D64" s="1">
        <f t="shared" ref="D64" si="23">IF(B64=0,"",B64)</f>
        <v>995</v>
      </c>
      <c r="E64" s="1">
        <f t="shared" ref="E64" si="24">IF(B64=0,"",MAX(B64:B73))</f>
        <v>996</v>
      </c>
      <c r="F64" s="1">
        <f t="shared" ref="F64" si="25">IF(B64=0,"",IF(B73&lt;&gt;0,MIN(B64:B73),IF(B72&lt;&gt;0,MIN(B64:B72),IF(B71&lt;&gt;0,MIN(B64:B71),IF(B70&lt;&gt;0,MIN(B64:B70),IF(B69&lt;&gt;0,MIN(B64:B69),IF(B68&lt;&gt;0,MIN(B64:B68),IF(B67&lt;&gt;0,MIN(B64:B67),IF(B66&lt;&gt;0,MIN(B64:B66),IF(B65&lt;&gt;0,MIN(B64:B65),B64))))))))))</f>
        <v>995</v>
      </c>
      <c r="G64" s="1">
        <f t="shared" ref="G64" si="26">IF(AND(B73=0,F64=""),"",IF(B73=0,$B$8,B73))</f>
        <v>996</v>
      </c>
      <c r="I64" s="2"/>
    </row>
    <row r="65" spans="1:9" x14ac:dyDescent="0.25">
      <c r="A65" s="1">
        <f t="shared" si="5"/>
        <v>52</v>
      </c>
      <c r="B65" s="1">
        <f>RTD("rit2.rtd",,$B$7,"LASTHIST",A65)</f>
        <v>995</v>
      </c>
      <c r="C65" s="1">
        <f t="shared" si="10"/>
        <v>6</v>
      </c>
      <c r="I65" s="2"/>
    </row>
    <row r="66" spans="1:9" x14ac:dyDescent="0.25">
      <c r="A66" s="1">
        <f t="shared" si="5"/>
        <v>53</v>
      </c>
      <c r="B66" s="1">
        <f>RTD("rit2.rtd",,$B$7,"LASTHIST",A66)</f>
        <v>995</v>
      </c>
      <c r="C66" s="1">
        <f t="shared" si="10"/>
        <v>6</v>
      </c>
      <c r="I66" s="2"/>
    </row>
    <row r="67" spans="1:9" x14ac:dyDescent="0.25">
      <c r="A67" s="1">
        <f t="shared" si="5"/>
        <v>54</v>
      </c>
      <c r="B67" s="1">
        <f>RTD("rit2.rtd",,$B$7,"LASTHIST",A67)</f>
        <v>995</v>
      </c>
      <c r="C67" s="1">
        <f t="shared" si="10"/>
        <v>6</v>
      </c>
      <c r="I67" s="2"/>
    </row>
    <row r="68" spans="1:9" x14ac:dyDescent="0.25">
      <c r="A68" s="1">
        <f t="shared" si="5"/>
        <v>55</v>
      </c>
      <c r="B68" s="1">
        <f>RTD("rit2.rtd",,$B$7,"LASTHIST",A68)</f>
        <v>995</v>
      </c>
      <c r="C68" s="1">
        <f t="shared" si="10"/>
        <v>6</v>
      </c>
      <c r="I68" s="2"/>
    </row>
    <row r="69" spans="1:9" x14ac:dyDescent="0.25">
      <c r="A69" s="1">
        <f t="shared" si="5"/>
        <v>56</v>
      </c>
      <c r="B69" s="1">
        <f>RTD("rit2.rtd",,$B$7,"LASTHIST",A69)</f>
        <v>996</v>
      </c>
      <c r="C69" s="1">
        <f t="shared" si="10"/>
        <v>6</v>
      </c>
      <c r="I69" s="2"/>
    </row>
    <row r="70" spans="1:9" x14ac:dyDescent="0.25">
      <c r="A70" s="1">
        <f t="shared" si="5"/>
        <v>57</v>
      </c>
      <c r="B70" s="1">
        <f>RTD("rit2.rtd",,$B$7,"LASTHIST",A70)</f>
        <v>996</v>
      </c>
      <c r="C70" s="1">
        <f t="shared" si="10"/>
        <v>6</v>
      </c>
      <c r="I70" s="2"/>
    </row>
    <row r="71" spans="1:9" x14ac:dyDescent="0.25">
      <c r="A71" s="1">
        <f t="shared" si="5"/>
        <v>58</v>
      </c>
      <c r="B71" s="1">
        <f>RTD("rit2.rtd",,$B$7,"LASTHIST",A71)</f>
        <v>996</v>
      </c>
      <c r="C71" s="1">
        <f t="shared" si="10"/>
        <v>6</v>
      </c>
      <c r="I71" s="2"/>
    </row>
    <row r="72" spans="1:9" x14ac:dyDescent="0.25">
      <c r="A72" s="1">
        <f t="shared" si="5"/>
        <v>59</v>
      </c>
      <c r="B72" s="1">
        <f>RTD("rit2.rtd",,$B$7,"LASTHIST",A72)</f>
        <v>996</v>
      </c>
      <c r="C72" s="1">
        <f t="shared" si="10"/>
        <v>6</v>
      </c>
      <c r="I72" s="2"/>
    </row>
    <row r="73" spans="1:9" x14ac:dyDescent="0.25">
      <c r="A73" s="1">
        <f t="shared" si="5"/>
        <v>60</v>
      </c>
      <c r="B73" s="1">
        <f>RTD("rit2.rtd",,$B$7,"LASTHIST",A73)</f>
        <v>996</v>
      </c>
      <c r="C73" s="1">
        <f t="shared" si="10"/>
        <v>6</v>
      </c>
      <c r="I73" s="2"/>
    </row>
    <row r="74" spans="1:9" x14ac:dyDescent="0.25">
      <c r="A74" s="1">
        <f t="shared" si="5"/>
        <v>61</v>
      </c>
      <c r="B74" s="1">
        <f>RTD("rit2.rtd",,$B$7,"LASTHIST",A74)</f>
        <v>997</v>
      </c>
      <c r="C74" s="1">
        <f t="shared" si="10"/>
        <v>7</v>
      </c>
      <c r="D74" s="1">
        <f t="shared" ref="D74" si="27">IF(B74=0,"",B74)</f>
        <v>997</v>
      </c>
      <c r="E74" s="1">
        <f t="shared" ref="E74" si="28">IF(B74=0,"",MAX(B74:B83))</f>
        <v>1000</v>
      </c>
      <c r="F74" s="1">
        <f t="shared" ref="F74" si="29">IF(B74=0,"",IF(B83&lt;&gt;0,MIN(B74:B83),IF(B82&lt;&gt;0,MIN(B74:B82),IF(B81&lt;&gt;0,MIN(B74:B81),IF(B80&lt;&gt;0,MIN(B74:B80),IF(B79&lt;&gt;0,MIN(B74:B79),IF(B78&lt;&gt;0,MIN(B74:B78),IF(B77&lt;&gt;0,MIN(B74:B77),IF(B76&lt;&gt;0,MIN(B74:B76),IF(B75&lt;&gt;0,MIN(B74:B75),B74))))))))))</f>
        <v>997</v>
      </c>
      <c r="G74" s="1">
        <f t="shared" ref="G74" si="30">IF(AND(B83=0,F74=""),"",IF(B83=0,$B$8,B83))</f>
        <v>998</v>
      </c>
      <c r="I74" s="2"/>
    </row>
    <row r="75" spans="1:9" x14ac:dyDescent="0.25">
      <c r="A75" s="1">
        <f t="shared" si="5"/>
        <v>62</v>
      </c>
      <c r="B75" s="1">
        <f>RTD("rit2.rtd",,$B$7,"LASTHIST",A75)</f>
        <v>997</v>
      </c>
      <c r="C75" s="1">
        <f t="shared" si="10"/>
        <v>7</v>
      </c>
      <c r="I75" s="2"/>
    </row>
    <row r="76" spans="1:9" x14ac:dyDescent="0.25">
      <c r="A76" s="1">
        <f t="shared" si="5"/>
        <v>63</v>
      </c>
      <c r="B76" s="1">
        <f>RTD("rit2.rtd",,$B$7,"LASTHIST",A76)</f>
        <v>998</v>
      </c>
      <c r="C76" s="1">
        <f t="shared" si="10"/>
        <v>7</v>
      </c>
      <c r="I76" s="2"/>
    </row>
    <row r="77" spans="1:9" x14ac:dyDescent="0.25">
      <c r="A77" s="1">
        <f t="shared" si="5"/>
        <v>64</v>
      </c>
      <c r="B77" s="1">
        <f>RTD("rit2.rtd",,$B$7,"LASTHIST",A77)</f>
        <v>999</v>
      </c>
      <c r="C77" s="1">
        <f t="shared" si="10"/>
        <v>7</v>
      </c>
      <c r="I77" s="2"/>
    </row>
    <row r="78" spans="1:9" x14ac:dyDescent="0.25">
      <c r="A78" s="1">
        <f t="shared" si="5"/>
        <v>65</v>
      </c>
      <c r="B78" s="1">
        <f>RTD("rit2.rtd",,$B$7,"LASTHIST",A78)</f>
        <v>1000</v>
      </c>
      <c r="C78" s="1">
        <f t="shared" si="10"/>
        <v>7</v>
      </c>
      <c r="I78" s="2"/>
    </row>
    <row r="79" spans="1:9" x14ac:dyDescent="0.25">
      <c r="A79" s="1">
        <f t="shared" si="5"/>
        <v>66</v>
      </c>
      <c r="B79" s="1">
        <f>RTD("rit2.rtd",,$B$7,"LASTHIST",A79)</f>
        <v>999</v>
      </c>
      <c r="C79" s="1">
        <f t="shared" si="10"/>
        <v>7</v>
      </c>
      <c r="I79" s="2"/>
    </row>
    <row r="80" spans="1:9" x14ac:dyDescent="0.25">
      <c r="A80" s="1">
        <f t="shared" ref="A80:A143" si="31">A79+1</f>
        <v>67</v>
      </c>
      <c r="B80" s="1">
        <f>RTD("rit2.rtd",,$B$7,"LASTHIST",A80)</f>
        <v>999</v>
      </c>
      <c r="C80" s="1">
        <f t="shared" si="10"/>
        <v>7</v>
      </c>
      <c r="I80" s="2"/>
    </row>
    <row r="81" spans="1:9" x14ac:dyDescent="0.25">
      <c r="A81" s="1">
        <f t="shared" si="31"/>
        <v>68</v>
      </c>
      <c r="B81" s="1">
        <f>RTD("rit2.rtd",,$B$7,"LASTHIST",A81)</f>
        <v>998</v>
      </c>
      <c r="C81" s="1">
        <f t="shared" si="10"/>
        <v>7</v>
      </c>
      <c r="I81" s="2"/>
    </row>
    <row r="82" spans="1:9" x14ac:dyDescent="0.25">
      <c r="A82" s="1">
        <f t="shared" si="31"/>
        <v>69</v>
      </c>
      <c r="B82" s="1">
        <f>RTD("rit2.rtd",,$B$7,"LASTHIST",A82)</f>
        <v>998</v>
      </c>
      <c r="C82" s="1">
        <f t="shared" si="10"/>
        <v>7</v>
      </c>
      <c r="I82" s="2"/>
    </row>
    <row r="83" spans="1:9" x14ac:dyDescent="0.25">
      <c r="A83" s="1">
        <f t="shared" si="31"/>
        <v>70</v>
      </c>
      <c r="B83" s="1">
        <f>RTD("rit2.rtd",,$B$7,"LASTHIST",A83)</f>
        <v>998</v>
      </c>
      <c r="C83" s="1">
        <f t="shared" si="10"/>
        <v>7</v>
      </c>
      <c r="I83" s="2"/>
    </row>
    <row r="84" spans="1:9" x14ac:dyDescent="0.25">
      <c r="A84" s="1">
        <f t="shared" si="31"/>
        <v>71</v>
      </c>
      <c r="B84" s="1">
        <f>RTD("rit2.rtd",,$B$7,"LASTHIST",A84)</f>
        <v>998</v>
      </c>
      <c r="C84" s="1">
        <f t="shared" si="10"/>
        <v>8</v>
      </c>
      <c r="D84" s="1">
        <f t="shared" ref="D84" si="32">IF(B84=0,"",B84)</f>
        <v>998</v>
      </c>
      <c r="E84" s="1">
        <f t="shared" ref="E84" si="33">IF(B84=0,"",MAX(B84:B93))</f>
        <v>998</v>
      </c>
      <c r="F84" s="1">
        <f t="shared" ref="F84" si="34">IF(B84=0,"",IF(B93&lt;&gt;0,MIN(B84:B93),IF(B92&lt;&gt;0,MIN(B84:B92),IF(B91&lt;&gt;0,MIN(B84:B91),IF(B90&lt;&gt;0,MIN(B84:B90),IF(B89&lt;&gt;0,MIN(B84:B89),IF(B88&lt;&gt;0,MIN(B84:B88),IF(B87&lt;&gt;0,MIN(B84:B87),IF(B86&lt;&gt;0,MIN(B84:B86),IF(B85&lt;&gt;0,MIN(B84:B85),B84))))))))))</f>
        <v>997</v>
      </c>
      <c r="G84" s="1">
        <f t="shared" ref="G84" si="35">IF(AND(B93=0,F84=""),"",IF(B93=0,$B$8,B93))</f>
        <v>997</v>
      </c>
      <c r="I84" s="2"/>
    </row>
    <row r="85" spans="1:9" x14ac:dyDescent="0.25">
      <c r="A85" s="1">
        <f t="shared" si="31"/>
        <v>72</v>
      </c>
      <c r="B85" s="1">
        <f>RTD("rit2.rtd",,$B$7,"LASTHIST",A85)</f>
        <v>998</v>
      </c>
      <c r="C85" s="1">
        <f t="shared" si="10"/>
        <v>8</v>
      </c>
      <c r="I85" s="2"/>
    </row>
    <row r="86" spans="1:9" x14ac:dyDescent="0.25">
      <c r="A86" s="1">
        <f t="shared" si="31"/>
        <v>73</v>
      </c>
      <c r="B86" s="1">
        <f>RTD("rit2.rtd",,$B$7,"LASTHIST",A86)</f>
        <v>998</v>
      </c>
      <c r="C86" s="1">
        <f t="shared" si="10"/>
        <v>8</v>
      </c>
      <c r="I86" s="2"/>
    </row>
    <row r="87" spans="1:9" x14ac:dyDescent="0.25">
      <c r="A87" s="1">
        <f t="shared" si="31"/>
        <v>74</v>
      </c>
      <c r="B87" s="1">
        <f>RTD("rit2.rtd",,$B$7,"LASTHIST",A87)</f>
        <v>998</v>
      </c>
      <c r="C87" s="1">
        <f t="shared" si="10"/>
        <v>8</v>
      </c>
      <c r="I87" s="2"/>
    </row>
    <row r="88" spans="1:9" x14ac:dyDescent="0.25">
      <c r="A88" s="1">
        <f t="shared" si="31"/>
        <v>75</v>
      </c>
      <c r="B88" s="1">
        <f>RTD("rit2.rtd",,$B$7,"LASTHIST",A88)</f>
        <v>998</v>
      </c>
      <c r="C88" s="1">
        <f t="shared" si="10"/>
        <v>8</v>
      </c>
      <c r="I88" s="2"/>
    </row>
    <row r="89" spans="1:9" x14ac:dyDescent="0.25">
      <c r="A89" s="1">
        <f t="shared" si="31"/>
        <v>76</v>
      </c>
      <c r="B89" s="1">
        <f>RTD("rit2.rtd",,$B$7,"LASTHIST",A89)</f>
        <v>998</v>
      </c>
      <c r="C89" s="1">
        <f t="shared" ref="C89:C152" si="36">C79+1</f>
        <v>8</v>
      </c>
      <c r="I89" s="2"/>
    </row>
    <row r="90" spans="1:9" x14ac:dyDescent="0.25">
      <c r="A90" s="1">
        <f t="shared" si="31"/>
        <v>77</v>
      </c>
      <c r="B90" s="1">
        <f>RTD("rit2.rtd",,$B$7,"LASTHIST",A90)</f>
        <v>998</v>
      </c>
      <c r="C90" s="1">
        <f t="shared" si="36"/>
        <v>8</v>
      </c>
      <c r="I90" s="2"/>
    </row>
    <row r="91" spans="1:9" x14ac:dyDescent="0.25">
      <c r="A91" s="1">
        <f t="shared" si="31"/>
        <v>78</v>
      </c>
      <c r="B91" s="1">
        <f>RTD("rit2.rtd",,$B$7,"LASTHIST",A91)</f>
        <v>998</v>
      </c>
      <c r="C91" s="1">
        <f t="shared" si="36"/>
        <v>8</v>
      </c>
      <c r="I91" s="2"/>
    </row>
    <row r="92" spans="1:9" x14ac:dyDescent="0.25">
      <c r="A92" s="1">
        <f t="shared" si="31"/>
        <v>79</v>
      </c>
      <c r="B92" s="1">
        <f>RTD("rit2.rtd",,$B$7,"LASTHIST",A92)</f>
        <v>998</v>
      </c>
      <c r="C92" s="1">
        <f t="shared" si="36"/>
        <v>8</v>
      </c>
      <c r="I92" s="2"/>
    </row>
    <row r="93" spans="1:9" x14ac:dyDescent="0.25">
      <c r="A93" s="1">
        <f t="shared" si="31"/>
        <v>80</v>
      </c>
      <c r="B93" s="1">
        <f>RTD("rit2.rtd",,$B$7,"LASTHIST",A93)</f>
        <v>997</v>
      </c>
      <c r="C93" s="1">
        <f t="shared" si="36"/>
        <v>8</v>
      </c>
      <c r="I93" s="2"/>
    </row>
    <row r="94" spans="1:9" x14ac:dyDescent="0.25">
      <c r="A94" s="1">
        <f t="shared" si="31"/>
        <v>81</v>
      </c>
      <c r="B94" s="1">
        <f>RTD("rit2.rtd",,$B$7,"LASTHIST",A94)</f>
        <v>997</v>
      </c>
      <c r="C94" s="1">
        <f t="shared" si="36"/>
        <v>9</v>
      </c>
      <c r="D94" s="1">
        <f t="shared" ref="D94" si="37">IF(B94=0,"",B94)</f>
        <v>997</v>
      </c>
      <c r="E94" s="1">
        <f t="shared" ref="E94" si="38">IF(B94=0,"",MAX(B94:B103))</f>
        <v>997</v>
      </c>
      <c r="F94" s="1">
        <f t="shared" ref="F94" si="39">IF(B94=0,"",IF(B103&lt;&gt;0,MIN(B94:B103),IF(B102&lt;&gt;0,MIN(B94:B102),IF(B101&lt;&gt;0,MIN(B94:B101),IF(B100&lt;&gt;0,MIN(B94:B100),IF(B99&lt;&gt;0,MIN(B94:B99),IF(B98&lt;&gt;0,MIN(B94:B98),IF(B97&lt;&gt;0,MIN(B94:B97),IF(B96&lt;&gt;0,MIN(B94:B96),IF(B95&lt;&gt;0,MIN(B94:B95),B94))))))))))</f>
        <v>993</v>
      </c>
      <c r="G94" s="1">
        <f t="shared" ref="G94" si="40">IF(AND(B103=0,F94=""),"",IF(B103=0,$B$8,B103))</f>
        <v>993</v>
      </c>
      <c r="I94" s="2"/>
    </row>
    <row r="95" spans="1:9" x14ac:dyDescent="0.25">
      <c r="A95" s="1">
        <f t="shared" si="31"/>
        <v>82</v>
      </c>
      <c r="B95" s="1">
        <f>RTD("rit2.rtd",,$B$7,"LASTHIST",A95)</f>
        <v>997</v>
      </c>
      <c r="C95" s="1">
        <f t="shared" si="36"/>
        <v>9</v>
      </c>
      <c r="I95" s="2"/>
    </row>
    <row r="96" spans="1:9" x14ac:dyDescent="0.25">
      <c r="A96" s="1">
        <f t="shared" si="31"/>
        <v>83</v>
      </c>
      <c r="B96" s="1">
        <f>RTD("rit2.rtd",,$B$7,"LASTHIST",A96)</f>
        <v>997</v>
      </c>
      <c r="C96" s="1">
        <f t="shared" si="36"/>
        <v>9</v>
      </c>
      <c r="I96" s="2"/>
    </row>
    <row r="97" spans="1:9" x14ac:dyDescent="0.25">
      <c r="A97" s="1">
        <f t="shared" si="31"/>
        <v>84</v>
      </c>
      <c r="B97" s="1">
        <f>RTD("rit2.rtd",,$B$7,"LASTHIST",A97)</f>
        <v>996</v>
      </c>
      <c r="C97" s="1">
        <f t="shared" si="36"/>
        <v>9</v>
      </c>
      <c r="I97" s="2"/>
    </row>
    <row r="98" spans="1:9" x14ac:dyDescent="0.25">
      <c r="A98" s="1">
        <f t="shared" si="31"/>
        <v>85</v>
      </c>
      <c r="B98" s="1">
        <f>RTD("rit2.rtd",,$B$7,"LASTHIST",A98)</f>
        <v>996</v>
      </c>
      <c r="C98" s="1">
        <f t="shared" si="36"/>
        <v>9</v>
      </c>
      <c r="I98" s="2"/>
    </row>
    <row r="99" spans="1:9" x14ac:dyDescent="0.25">
      <c r="A99" s="1">
        <f t="shared" si="31"/>
        <v>86</v>
      </c>
      <c r="B99" s="1">
        <f>RTD("rit2.rtd",,$B$7,"LASTHIST",A99)</f>
        <v>996</v>
      </c>
      <c r="C99" s="1">
        <f t="shared" si="36"/>
        <v>9</v>
      </c>
      <c r="I99" s="2"/>
    </row>
    <row r="100" spans="1:9" x14ac:dyDescent="0.25">
      <c r="A100" s="1">
        <f t="shared" si="31"/>
        <v>87</v>
      </c>
      <c r="B100" s="1">
        <f>RTD("rit2.rtd",,$B$7,"LASTHIST",A100)</f>
        <v>994</v>
      </c>
      <c r="C100" s="1">
        <f t="shared" si="36"/>
        <v>9</v>
      </c>
      <c r="I100" s="2"/>
    </row>
    <row r="101" spans="1:9" x14ac:dyDescent="0.25">
      <c r="A101" s="1">
        <f t="shared" si="31"/>
        <v>88</v>
      </c>
      <c r="B101" s="1">
        <f>RTD("rit2.rtd",,$B$7,"LASTHIST",A101)</f>
        <v>993</v>
      </c>
      <c r="C101" s="1">
        <f t="shared" si="36"/>
        <v>9</v>
      </c>
      <c r="I101" s="2"/>
    </row>
    <row r="102" spans="1:9" x14ac:dyDescent="0.25">
      <c r="A102" s="1">
        <f t="shared" si="31"/>
        <v>89</v>
      </c>
      <c r="B102" s="1">
        <f>RTD("rit2.rtd",,$B$7,"LASTHIST",A102)</f>
        <v>993</v>
      </c>
      <c r="C102" s="1">
        <f t="shared" si="36"/>
        <v>9</v>
      </c>
      <c r="I102" s="2"/>
    </row>
    <row r="103" spans="1:9" x14ac:dyDescent="0.25">
      <c r="A103" s="1">
        <f t="shared" si="31"/>
        <v>90</v>
      </c>
      <c r="B103" s="1">
        <f>RTD("rit2.rtd",,$B$7,"LASTHIST",A103)</f>
        <v>993</v>
      </c>
      <c r="C103" s="1">
        <f t="shared" si="36"/>
        <v>9</v>
      </c>
      <c r="I103" s="2"/>
    </row>
    <row r="104" spans="1:9" x14ac:dyDescent="0.25">
      <c r="A104" s="1">
        <f t="shared" si="31"/>
        <v>91</v>
      </c>
      <c r="B104" s="1">
        <f>RTD("rit2.rtd",,$B$7,"LASTHIST",A104)</f>
        <v>993</v>
      </c>
      <c r="C104" s="1">
        <f t="shared" si="36"/>
        <v>10</v>
      </c>
      <c r="D104" s="1">
        <f t="shared" ref="D104" si="41">IF(B104=0,"",B104)</f>
        <v>993</v>
      </c>
      <c r="E104" s="1">
        <f t="shared" ref="E104" si="42">IF(B104=0,"",MAX(B104:B113))</f>
        <v>994</v>
      </c>
      <c r="F104" s="1">
        <f t="shared" ref="F104" si="43">IF(B104=0,"",IF(B113&lt;&gt;0,MIN(B104:B113),IF(B112&lt;&gt;0,MIN(B104:B112),IF(B111&lt;&gt;0,MIN(B104:B111),IF(B110&lt;&gt;0,MIN(B104:B110),IF(B109&lt;&gt;0,MIN(B104:B109),IF(B108&lt;&gt;0,MIN(B104:B108),IF(B107&lt;&gt;0,MIN(B104:B107),IF(B106&lt;&gt;0,MIN(B104:B106),IF(B105&lt;&gt;0,MIN(B104:B105),B104))))))))))</f>
        <v>992</v>
      </c>
      <c r="G104" s="1">
        <f t="shared" ref="G104" si="44">IF(AND(B113=0,F104=""),"",IF(B113=0,$B$8,B113))</f>
        <v>992</v>
      </c>
      <c r="I104" s="2"/>
    </row>
    <row r="105" spans="1:9" x14ac:dyDescent="0.25">
      <c r="A105" s="1">
        <f t="shared" si="31"/>
        <v>92</v>
      </c>
      <c r="B105" s="1">
        <f>RTD("rit2.rtd",,$B$7,"LASTHIST",A105)</f>
        <v>993</v>
      </c>
      <c r="C105" s="1">
        <f t="shared" si="36"/>
        <v>10</v>
      </c>
      <c r="I105" s="2"/>
    </row>
    <row r="106" spans="1:9" x14ac:dyDescent="0.25">
      <c r="A106" s="1">
        <f t="shared" si="31"/>
        <v>93</v>
      </c>
      <c r="B106" s="1">
        <f>RTD("rit2.rtd",,$B$7,"LASTHIST",A106)</f>
        <v>993</v>
      </c>
      <c r="C106" s="1">
        <f t="shared" si="36"/>
        <v>10</v>
      </c>
      <c r="I106" s="2"/>
    </row>
    <row r="107" spans="1:9" x14ac:dyDescent="0.25">
      <c r="A107" s="1">
        <f t="shared" si="31"/>
        <v>94</v>
      </c>
      <c r="B107" s="1">
        <f>RTD("rit2.rtd",,$B$7,"LASTHIST",A107)</f>
        <v>993</v>
      </c>
      <c r="C107" s="1">
        <f t="shared" si="36"/>
        <v>10</v>
      </c>
      <c r="I107" s="2"/>
    </row>
    <row r="108" spans="1:9" x14ac:dyDescent="0.25">
      <c r="A108" s="1">
        <f t="shared" si="31"/>
        <v>95</v>
      </c>
      <c r="B108" s="1">
        <f>RTD("rit2.rtd",,$B$7,"LASTHIST",A108)</f>
        <v>994</v>
      </c>
      <c r="C108" s="1">
        <f t="shared" si="36"/>
        <v>10</v>
      </c>
      <c r="I108" s="2"/>
    </row>
    <row r="109" spans="1:9" x14ac:dyDescent="0.25">
      <c r="A109" s="1">
        <f t="shared" si="31"/>
        <v>96</v>
      </c>
      <c r="B109" s="1">
        <f>RTD("rit2.rtd",,$B$7,"LASTHIST",A109)</f>
        <v>994</v>
      </c>
      <c r="C109" s="1">
        <f t="shared" si="36"/>
        <v>10</v>
      </c>
      <c r="I109" s="2"/>
    </row>
    <row r="110" spans="1:9" x14ac:dyDescent="0.25">
      <c r="A110" s="1">
        <f t="shared" si="31"/>
        <v>97</v>
      </c>
      <c r="B110" s="1">
        <f>RTD("rit2.rtd",,$B$7,"LASTHIST",A110)</f>
        <v>994</v>
      </c>
      <c r="C110" s="1">
        <f t="shared" si="36"/>
        <v>10</v>
      </c>
      <c r="I110" s="2"/>
    </row>
    <row r="111" spans="1:9" x14ac:dyDescent="0.25">
      <c r="A111" s="1">
        <f t="shared" si="31"/>
        <v>98</v>
      </c>
      <c r="B111" s="1">
        <f>RTD("rit2.rtd",,$B$7,"LASTHIST",A111)</f>
        <v>993</v>
      </c>
      <c r="C111" s="1">
        <f t="shared" si="36"/>
        <v>10</v>
      </c>
      <c r="I111" s="2"/>
    </row>
    <row r="112" spans="1:9" x14ac:dyDescent="0.25">
      <c r="A112" s="1">
        <f t="shared" si="31"/>
        <v>99</v>
      </c>
      <c r="B112" s="1">
        <f>RTD("rit2.rtd",,$B$7,"LASTHIST",A112)</f>
        <v>993</v>
      </c>
      <c r="C112" s="1">
        <f t="shared" si="36"/>
        <v>10</v>
      </c>
      <c r="I112" s="2"/>
    </row>
    <row r="113" spans="1:9" x14ac:dyDescent="0.25">
      <c r="A113" s="1">
        <f t="shared" si="31"/>
        <v>100</v>
      </c>
      <c r="B113" s="1">
        <f>RTD("rit2.rtd",,$B$7,"LASTHIST",A113)</f>
        <v>992</v>
      </c>
      <c r="C113" s="1">
        <f t="shared" si="36"/>
        <v>10</v>
      </c>
      <c r="I113" s="2"/>
    </row>
    <row r="114" spans="1:9" x14ac:dyDescent="0.25">
      <c r="A114" s="1">
        <f t="shared" si="31"/>
        <v>101</v>
      </c>
      <c r="B114" s="1">
        <f>RTD("rit2.rtd",,$B$7,"LASTHIST",A114)</f>
        <v>991</v>
      </c>
      <c r="C114" s="1">
        <f t="shared" si="36"/>
        <v>11</v>
      </c>
      <c r="D114" s="1">
        <f t="shared" ref="D114" si="45">IF(B114=0,"",B114)</f>
        <v>991</v>
      </c>
      <c r="E114" s="1">
        <f t="shared" ref="E114" si="46">IF(B114=0,"",MAX(B114:B123))</f>
        <v>991</v>
      </c>
      <c r="F114" s="1">
        <f t="shared" ref="F114" si="47">IF(B114=0,"",IF(B123&lt;&gt;0,MIN(B114:B123),IF(B122&lt;&gt;0,MIN(B114:B122),IF(B121&lt;&gt;0,MIN(B114:B121),IF(B120&lt;&gt;0,MIN(B114:B120),IF(B119&lt;&gt;0,MIN(B114:B119),IF(B118&lt;&gt;0,MIN(B114:B118),IF(B117&lt;&gt;0,MIN(B114:B117),IF(B116&lt;&gt;0,MIN(B114:B116),IF(B115&lt;&gt;0,MIN(B114:B115),B114))))))))))</f>
        <v>985</v>
      </c>
      <c r="G114" s="1">
        <f t="shared" ref="G114" si="48">IF(AND(B123=0,F114=""),"",IF(B123=0,$B$8,B123))</f>
        <v>985</v>
      </c>
      <c r="I114" s="2"/>
    </row>
    <row r="115" spans="1:9" x14ac:dyDescent="0.25">
      <c r="A115" s="1">
        <f t="shared" si="31"/>
        <v>102</v>
      </c>
      <c r="B115" s="1">
        <f>RTD("rit2.rtd",,$B$7,"LASTHIST",A115)</f>
        <v>990</v>
      </c>
      <c r="C115" s="1">
        <f t="shared" si="36"/>
        <v>11</v>
      </c>
      <c r="I115" s="2"/>
    </row>
    <row r="116" spans="1:9" x14ac:dyDescent="0.25">
      <c r="A116" s="1">
        <f t="shared" si="31"/>
        <v>103</v>
      </c>
      <c r="B116" s="1">
        <f>RTD("rit2.rtd",,$B$7,"LASTHIST",A116)</f>
        <v>989</v>
      </c>
      <c r="C116" s="1">
        <f t="shared" si="36"/>
        <v>11</v>
      </c>
      <c r="I116" s="2"/>
    </row>
    <row r="117" spans="1:9" x14ac:dyDescent="0.25">
      <c r="A117" s="1">
        <f t="shared" si="31"/>
        <v>104</v>
      </c>
      <c r="B117" s="1">
        <f>RTD("rit2.rtd",,$B$7,"LASTHIST",A117)</f>
        <v>988</v>
      </c>
      <c r="C117" s="1">
        <f t="shared" si="36"/>
        <v>11</v>
      </c>
      <c r="I117" s="2"/>
    </row>
    <row r="118" spans="1:9" x14ac:dyDescent="0.25">
      <c r="A118" s="1">
        <f t="shared" si="31"/>
        <v>105</v>
      </c>
      <c r="B118" s="1">
        <f>RTD("rit2.rtd",,$B$7,"LASTHIST",A118)</f>
        <v>987</v>
      </c>
      <c r="C118" s="1">
        <f t="shared" si="36"/>
        <v>11</v>
      </c>
      <c r="I118" s="2"/>
    </row>
    <row r="119" spans="1:9" x14ac:dyDescent="0.25">
      <c r="A119" s="1">
        <f t="shared" si="31"/>
        <v>106</v>
      </c>
      <c r="B119" s="1">
        <f>RTD("rit2.rtd",,$B$7,"LASTHIST",A119)</f>
        <v>986</v>
      </c>
      <c r="C119" s="1">
        <f t="shared" si="36"/>
        <v>11</v>
      </c>
      <c r="I119" s="2"/>
    </row>
    <row r="120" spans="1:9" x14ac:dyDescent="0.25">
      <c r="A120" s="1">
        <f t="shared" si="31"/>
        <v>107</v>
      </c>
      <c r="B120" s="1">
        <f>RTD("rit2.rtd",,$B$7,"LASTHIST",A120)</f>
        <v>987</v>
      </c>
      <c r="C120" s="1">
        <f t="shared" si="36"/>
        <v>11</v>
      </c>
      <c r="I120" s="2"/>
    </row>
    <row r="121" spans="1:9" x14ac:dyDescent="0.25">
      <c r="A121" s="1">
        <f t="shared" si="31"/>
        <v>108</v>
      </c>
      <c r="B121" s="1">
        <f>RTD("rit2.rtd",,$B$7,"LASTHIST",A121)</f>
        <v>986</v>
      </c>
      <c r="C121" s="1">
        <f t="shared" si="36"/>
        <v>11</v>
      </c>
      <c r="I121" s="2"/>
    </row>
    <row r="122" spans="1:9" x14ac:dyDescent="0.25">
      <c r="A122" s="1">
        <f t="shared" si="31"/>
        <v>109</v>
      </c>
      <c r="B122" s="1">
        <f>RTD("rit2.rtd",,$B$7,"LASTHIST",A122)</f>
        <v>985</v>
      </c>
      <c r="C122" s="1">
        <f t="shared" si="36"/>
        <v>11</v>
      </c>
      <c r="I122" s="2"/>
    </row>
    <row r="123" spans="1:9" x14ac:dyDescent="0.25">
      <c r="A123" s="1">
        <f t="shared" si="31"/>
        <v>110</v>
      </c>
      <c r="B123" s="1">
        <f>RTD("rit2.rtd",,$B$7,"LASTHIST",A123)</f>
        <v>985</v>
      </c>
      <c r="C123" s="1">
        <f t="shared" si="36"/>
        <v>11</v>
      </c>
      <c r="I123" s="2"/>
    </row>
    <row r="124" spans="1:9" x14ac:dyDescent="0.25">
      <c r="A124" s="1">
        <f t="shared" si="31"/>
        <v>111</v>
      </c>
      <c r="B124" s="1">
        <f>RTD("rit2.rtd",,$B$7,"LASTHIST",A124)</f>
        <v>985</v>
      </c>
      <c r="C124" s="1">
        <f t="shared" si="36"/>
        <v>12</v>
      </c>
      <c r="D124" s="1">
        <f t="shared" ref="D124" si="49">IF(B124=0,"",B124)</f>
        <v>985</v>
      </c>
      <c r="E124" s="1">
        <f t="shared" ref="E124" si="50">IF(B124=0,"",MAX(B124:B133))</f>
        <v>986</v>
      </c>
      <c r="F124" s="1">
        <f t="shared" ref="F124" si="51">IF(B124=0,"",IF(B133&lt;&gt;0,MIN(B124:B133),IF(B132&lt;&gt;0,MIN(B124:B132),IF(B131&lt;&gt;0,MIN(B124:B131),IF(B130&lt;&gt;0,MIN(B124:B130),IF(B129&lt;&gt;0,MIN(B124:B129),IF(B128&lt;&gt;0,MIN(B124:B128),IF(B127&lt;&gt;0,MIN(B124:B127),IF(B126&lt;&gt;0,MIN(B124:B126),IF(B125&lt;&gt;0,MIN(B124:B125),B124))))))))))</f>
        <v>984</v>
      </c>
      <c r="G124" s="1">
        <f t="shared" ref="G124" si="52">IF(AND(B133=0,F124=""),"",IF(B133=0,$B$8,B133))</f>
        <v>985</v>
      </c>
      <c r="I124" s="2"/>
    </row>
    <row r="125" spans="1:9" x14ac:dyDescent="0.25">
      <c r="A125" s="1">
        <f t="shared" si="31"/>
        <v>112</v>
      </c>
      <c r="B125" s="1">
        <f>RTD("rit2.rtd",,$B$7,"LASTHIST",A125)</f>
        <v>986</v>
      </c>
      <c r="C125" s="1">
        <f t="shared" si="36"/>
        <v>12</v>
      </c>
      <c r="I125" s="2"/>
    </row>
    <row r="126" spans="1:9" x14ac:dyDescent="0.25">
      <c r="A126" s="1">
        <f t="shared" si="31"/>
        <v>113</v>
      </c>
      <c r="B126" s="1">
        <f>RTD("rit2.rtd",,$B$7,"LASTHIST",A126)</f>
        <v>986</v>
      </c>
      <c r="C126" s="1">
        <f t="shared" si="36"/>
        <v>12</v>
      </c>
      <c r="I126" s="2"/>
    </row>
    <row r="127" spans="1:9" x14ac:dyDescent="0.25">
      <c r="A127" s="1">
        <f t="shared" si="31"/>
        <v>114</v>
      </c>
      <c r="B127" s="1">
        <f>RTD("rit2.rtd",,$B$7,"LASTHIST",A127)</f>
        <v>986</v>
      </c>
      <c r="C127" s="1">
        <f t="shared" si="36"/>
        <v>12</v>
      </c>
      <c r="I127" s="2"/>
    </row>
    <row r="128" spans="1:9" x14ac:dyDescent="0.25">
      <c r="A128" s="1">
        <f t="shared" si="31"/>
        <v>115</v>
      </c>
      <c r="B128" s="1">
        <f>RTD("rit2.rtd",,$B$7,"LASTHIST",A128)</f>
        <v>986</v>
      </c>
      <c r="C128" s="1">
        <f t="shared" si="36"/>
        <v>12</v>
      </c>
      <c r="I128" s="2"/>
    </row>
    <row r="129" spans="1:9" x14ac:dyDescent="0.25">
      <c r="A129" s="1">
        <f t="shared" si="31"/>
        <v>116</v>
      </c>
      <c r="B129" s="1">
        <f>RTD("rit2.rtd",,$B$7,"LASTHIST",A129)</f>
        <v>986</v>
      </c>
      <c r="C129" s="1">
        <f t="shared" si="36"/>
        <v>12</v>
      </c>
      <c r="I129" s="2"/>
    </row>
    <row r="130" spans="1:9" x14ac:dyDescent="0.25">
      <c r="A130" s="1">
        <f t="shared" si="31"/>
        <v>117</v>
      </c>
      <c r="B130" s="1">
        <f>RTD("rit2.rtd",,$B$7,"LASTHIST",A130)</f>
        <v>985</v>
      </c>
      <c r="C130" s="1">
        <f t="shared" si="36"/>
        <v>12</v>
      </c>
      <c r="I130" s="2"/>
    </row>
    <row r="131" spans="1:9" x14ac:dyDescent="0.25">
      <c r="A131" s="1">
        <f t="shared" si="31"/>
        <v>118</v>
      </c>
      <c r="B131" s="1">
        <f>RTD("rit2.rtd",,$B$7,"LASTHIST",A131)</f>
        <v>984</v>
      </c>
      <c r="C131" s="1">
        <f t="shared" si="36"/>
        <v>12</v>
      </c>
      <c r="I131" s="2"/>
    </row>
    <row r="132" spans="1:9" x14ac:dyDescent="0.25">
      <c r="A132" s="1">
        <f t="shared" si="31"/>
        <v>119</v>
      </c>
      <c r="B132" s="1">
        <f>RTD("rit2.rtd",,$B$7,"LASTHIST",A132)</f>
        <v>985</v>
      </c>
      <c r="C132" s="1">
        <f t="shared" si="36"/>
        <v>12</v>
      </c>
      <c r="I132" s="2"/>
    </row>
    <row r="133" spans="1:9" x14ac:dyDescent="0.25">
      <c r="A133" s="1">
        <f t="shared" si="31"/>
        <v>120</v>
      </c>
      <c r="B133" s="1">
        <f>RTD("rit2.rtd",,$B$7,"LASTHIST",A133)</f>
        <v>985</v>
      </c>
      <c r="C133" s="1">
        <f t="shared" si="36"/>
        <v>12</v>
      </c>
      <c r="I133" s="2"/>
    </row>
    <row r="134" spans="1:9" x14ac:dyDescent="0.25">
      <c r="A134" s="1">
        <f t="shared" si="31"/>
        <v>121</v>
      </c>
      <c r="B134" s="1">
        <f>RTD("rit2.rtd",,$B$7,"LASTHIST",A134)</f>
        <v>985</v>
      </c>
      <c r="C134" s="1">
        <f t="shared" si="36"/>
        <v>13</v>
      </c>
      <c r="D134" s="1">
        <f t="shared" ref="D134" si="53">IF(B134=0,"",B134)</f>
        <v>985</v>
      </c>
      <c r="E134" s="1">
        <f t="shared" ref="E134" si="54">IF(B134=0,"",MAX(B134:B143))</f>
        <v>990</v>
      </c>
      <c r="F134" s="1">
        <f t="shared" ref="F134" si="55">IF(B134=0,"",IF(B143&lt;&gt;0,MIN(B134:B143),IF(B142&lt;&gt;0,MIN(B134:B142),IF(B141&lt;&gt;0,MIN(B134:B141),IF(B140&lt;&gt;0,MIN(B134:B140),IF(B139&lt;&gt;0,MIN(B134:B139),IF(B138&lt;&gt;0,MIN(B134:B138),IF(B137&lt;&gt;0,MIN(B134:B137),IF(B136&lt;&gt;0,MIN(B134:B136),IF(B135&lt;&gt;0,MIN(B134:B135),B134))))))))))</f>
        <v>985</v>
      </c>
      <c r="G134" s="1">
        <f t="shared" ref="G134" si="56">IF(AND(B143=0,F134=""),"",IF(B143=0,$B$8,B143))</f>
        <v>989</v>
      </c>
      <c r="I134" s="2"/>
    </row>
    <row r="135" spans="1:9" x14ac:dyDescent="0.25">
      <c r="A135" s="1">
        <f t="shared" si="31"/>
        <v>122</v>
      </c>
      <c r="B135" s="1">
        <f>RTD("rit2.rtd",,$B$7,"LASTHIST",A135)</f>
        <v>986</v>
      </c>
      <c r="C135" s="1">
        <f t="shared" si="36"/>
        <v>13</v>
      </c>
      <c r="I135" s="2"/>
    </row>
    <row r="136" spans="1:9" x14ac:dyDescent="0.25">
      <c r="A136" s="1">
        <f t="shared" si="31"/>
        <v>123</v>
      </c>
      <c r="B136" s="1">
        <f>RTD("rit2.rtd",,$B$7,"LASTHIST",A136)</f>
        <v>986</v>
      </c>
      <c r="C136" s="1">
        <f t="shared" si="36"/>
        <v>13</v>
      </c>
      <c r="I136" s="2"/>
    </row>
    <row r="137" spans="1:9" x14ac:dyDescent="0.25">
      <c r="A137" s="1">
        <f t="shared" si="31"/>
        <v>124</v>
      </c>
      <c r="B137" s="1">
        <f>RTD("rit2.rtd",,$B$7,"LASTHIST",A137)</f>
        <v>987</v>
      </c>
      <c r="C137" s="1">
        <f t="shared" si="36"/>
        <v>13</v>
      </c>
      <c r="I137" s="2"/>
    </row>
    <row r="138" spans="1:9" x14ac:dyDescent="0.25">
      <c r="A138" s="1">
        <f t="shared" si="31"/>
        <v>125</v>
      </c>
      <c r="B138" s="1">
        <f>RTD("rit2.rtd",,$B$7,"LASTHIST",A138)</f>
        <v>987</v>
      </c>
      <c r="C138" s="1">
        <f t="shared" si="36"/>
        <v>13</v>
      </c>
      <c r="I138" s="2"/>
    </row>
    <row r="139" spans="1:9" x14ac:dyDescent="0.25">
      <c r="A139" s="1">
        <f t="shared" si="31"/>
        <v>126</v>
      </c>
      <c r="B139" s="1">
        <f>RTD("rit2.rtd",,$B$7,"LASTHIST",A139)</f>
        <v>988</v>
      </c>
      <c r="C139" s="1">
        <f t="shared" si="36"/>
        <v>13</v>
      </c>
      <c r="I139" s="2"/>
    </row>
    <row r="140" spans="1:9" x14ac:dyDescent="0.25">
      <c r="A140" s="1">
        <f t="shared" si="31"/>
        <v>127</v>
      </c>
      <c r="B140" s="1">
        <f>RTD("rit2.rtd",,$B$7,"LASTHIST",A140)</f>
        <v>989</v>
      </c>
      <c r="C140" s="1">
        <f t="shared" si="36"/>
        <v>13</v>
      </c>
      <c r="I140" s="2"/>
    </row>
    <row r="141" spans="1:9" x14ac:dyDescent="0.25">
      <c r="A141" s="1">
        <f t="shared" si="31"/>
        <v>128</v>
      </c>
      <c r="B141" s="1">
        <f>RTD("rit2.rtd",,$B$7,"LASTHIST",A141)</f>
        <v>990</v>
      </c>
      <c r="C141" s="1">
        <f t="shared" si="36"/>
        <v>13</v>
      </c>
      <c r="I141" s="2"/>
    </row>
    <row r="142" spans="1:9" x14ac:dyDescent="0.25">
      <c r="A142" s="1">
        <f t="shared" si="31"/>
        <v>129</v>
      </c>
      <c r="B142" s="1">
        <f>RTD("rit2.rtd",,$B$7,"LASTHIST",A142)</f>
        <v>989</v>
      </c>
      <c r="C142" s="1">
        <f t="shared" si="36"/>
        <v>13</v>
      </c>
      <c r="I142" s="2"/>
    </row>
    <row r="143" spans="1:9" x14ac:dyDescent="0.25">
      <c r="A143" s="1">
        <f t="shared" si="31"/>
        <v>130</v>
      </c>
      <c r="B143" s="1">
        <f>RTD("rit2.rtd",,$B$7,"LASTHIST",A143)</f>
        <v>989</v>
      </c>
      <c r="C143" s="1">
        <f t="shared" si="36"/>
        <v>13</v>
      </c>
      <c r="I143" s="2"/>
    </row>
    <row r="144" spans="1:9" x14ac:dyDescent="0.25">
      <c r="A144" s="1">
        <f t="shared" ref="A144:A207" si="57">A143+1</f>
        <v>131</v>
      </c>
      <c r="B144" s="1">
        <f>RTD("rit2.rtd",,$B$7,"LASTHIST",A144)</f>
        <v>990</v>
      </c>
      <c r="C144" s="1">
        <f t="shared" si="36"/>
        <v>14</v>
      </c>
      <c r="D144" s="1">
        <f t="shared" ref="D144" si="58">IF(B144=0,"",B144)</f>
        <v>990</v>
      </c>
      <c r="E144" s="1">
        <f t="shared" ref="E144" si="59">IF(B144=0,"",MAX(B144:B153))</f>
        <v>993</v>
      </c>
      <c r="F144" s="1">
        <f t="shared" ref="F144" si="60">IF(B144=0,"",IF(B153&lt;&gt;0,MIN(B144:B153),IF(B152&lt;&gt;0,MIN(B144:B152),IF(B151&lt;&gt;0,MIN(B144:B151),IF(B150&lt;&gt;0,MIN(B144:B150),IF(B149&lt;&gt;0,MIN(B144:B149),IF(B148&lt;&gt;0,MIN(B144:B148),IF(B147&lt;&gt;0,MIN(B144:B147),IF(B146&lt;&gt;0,MIN(B144:B146),IF(B145&lt;&gt;0,MIN(B144:B145),B144))))))))))</f>
        <v>990</v>
      </c>
      <c r="G144" s="1">
        <f t="shared" ref="G144" si="61">IF(AND(B153=0,F144=""),"",IF(B153=0,$B$8,B153))</f>
        <v>993</v>
      </c>
      <c r="I144" s="2"/>
    </row>
    <row r="145" spans="1:9" x14ac:dyDescent="0.25">
      <c r="A145" s="1">
        <f t="shared" si="57"/>
        <v>132</v>
      </c>
      <c r="B145" s="1">
        <f>RTD("rit2.rtd",,$B$7,"LASTHIST",A145)</f>
        <v>991</v>
      </c>
      <c r="C145" s="1">
        <f t="shared" si="36"/>
        <v>14</v>
      </c>
      <c r="I145" s="2"/>
    </row>
    <row r="146" spans="1:9" x14ac:dyDescent="0.25">
      <c r="A146" s="1">
        <f t="shared" si="57"/>
        <v>133</v>
      </c>
      <c r="B146" s="1">
        <f>RTD("rit2.rtd",,$B$7,"LASTHIST",A146)</f>
        <v>991</v>
      </c>
      <c r="C146" s="1">
        <f t="shared" si="36"/>
        <v>14</v>
      </c>
      <c r="I146" s="2"/>
    </row>
    <row r="147" spans="1:9" x14ac:dyDescent="0.25">
      <c r="A147" s="1">
        <f t="shared" si="57"/>
        <v>134</v>
      </c>
      <c r="B147" s="1">
        <f>RTD("rit2.rtd",,$B$7,"LASTHIST",A147)</f>
        <v>992</v>
      </c>
      <c r="C147" s="1">
        <f t="shared" si="36"/>
        <v>14</v>
      </c>
      <c r="I147" s="2"/>
    </row>
    <row r="148" spans="1:9" x14ac:dyDescent="0.25">
      <c r="A148" s="1">
        <f t="shared" si="57"/>
        <v>135</v>
      </c>
      <c r="B148" s="1">
        <f>RTD("rit2.rtd",,$B$7,"LASTHIST",A148)</f>
        <v>992</v>
      </c>
      <c r="C148" s="1">
        <f t="shared" si="36"/>
        <v>14</v>
      </c>
      <c r="I148" s="2"/>
    </row>
    <row r="149" spans="1:9" x14ac:dyDescent="0.25">
      <c r="A149" s="1">
        <f t="shared" si="57"/>
        <v>136</v>
      </c>
      <c r="B149" s="1">
        <f>RTD("rit2.rtd",,$B$7,"LASTHIST",A149)</f>
        <v>991</v>
      </c>
      <c r="C149" s="1">
        <f t="shared" si="36"/>
        <v>14</v>
      </c>
      <c r="I149" s="2"/>
    </row>
    <row r="150" spans="1:9" x14ac:dyDescent="0.25">
      <c r="A150" s="1">
        <f t="shared" si="57"/>
        <v>137</v>
      </c>
      <c r="B150" s="1">
        <f>RTD("rit2.rtd",,$B$7,"LASTHIST",A150)</f>
        <v>992</v>
      </c>
      <c r="C150" s="1">
        <f t="shared" si="36"/>
        <v>14</v>
      </c>
      <c r="I150" s="2"/>
    </row>
    <row r="151" spans="1:9" x14ac:dyDescent="0.25">
      <c r="A151" s="1">
        <f t="shared" si="57"/>
        <v>138</v>
      </c>
      <c r="B151" s="1">
        <f>RTD("rit2.rtd",,$B$7,"LASTHIST",A151)</f>
        <v>993</v>
      </c>
      <c r="C151" s="1">
        <f t="shared" si="36"/>
        <v>14</v>
      </c>
      <c r="I151" s="2"/>
    </row>
    <row r="152" spans="1:9" x14ac:dyDescent="0.25">
      <c r="A152" s="1">
        <f t="shared" si="57"/>
        <v>139</v>
      </c>
      <c r="B152" s="1">
        <f>RTD("rit2.rtd",,$B$7,"LASTHIST",A152)</f>
        <v>993</v>
      </c>
      <c r="C152" s="1">
        <f t="shared" si="36"/>
        <v>14</v>
      </c>
      <c r="I152" s="2"/>
    </row>
    <row r="153" spans="1:9" x14ac:dyDescent="0.25">
      <c r="A153" s="1">
        <f t="shared" si="57"/>
        <v>140</v>
      </c>
      <c r="B153" s="1">
        <f>RTD("rit2.rtd",,$B$7,"LASTHIST",A153)</f>
        <v>993</v>
      </c>
      <c r="C153" s="1">
        <f t="shared" ref="C153:C216" si="62">C143+1</f>
        <v>14</v>
      </c>
      <c r="I153" s="2"/>
    </row>
    <row r="154" spans="1:9" x14ac:dyDescent="0.25">
      <c r="A154" s="1">
        <f t="shared" si="57"/>
        <v>141</v>
      </c>
      <c r="B154" s="1">
        <f>RTD("rit2.rtd",,$B$7,"LASTHIST",A154)</f>
        <v>993</v>
      </c>
      <c r="C154" s="1">
        <f t="shared" si="62"/>
        <v>15</v>
      </c>
      <c r="D154" s="1">
        <f t="shared" ref="D154" si="63">IF(B154=0,"",B154)</f>
        <v>993</v>
      </c>
      <c r="E154" s="1">
        <f t="shared" ref="E154" si="64">IF(B154=0,"",MAX(B154:B163))</f>
        <v>995</v>
      </c>
      <c r="F154" s="1">
        <f t="shared" ref="F154" si="65">IF(B154=0,"",IF(B163&lt;&gt;0,MIN(B154:B163),IF(B162&lt;&gt;0,MIN(B154:B162),IF(B161&lt;&gt;0,MIN(B154:B161),IF(B160&lt;&gt;0,MIN(B154:B160),IF(B159&lt;&gt;0,MIN(B154:B159),IF(B158&lt;&gt;0,MIN(B154:B158),IF(B157&lt;&gt;0,MIN(B154:B157),IF(B156&lt;&gt;0,MIN(B154:B156),IF(B155&lt;&gt;0,MIN(B154:B155),B154))))))))))</f>
        <v>993</v>
      </c>
      <c r="G154" s="1">
        <f t="shared" ref="G154" si="66">IF(AND(B163=0,F154=""),"",IF(B163=0,$B$8,B163))</f>
        <v>994</v>
      </c>
      <c r="I154" s="2"/>
    </row>
    <row r="155" spans="1:9" x14ac:dyDescent="0.25">
      <c r="A155" s="1">
        <f t="shared" si="57"/>
        <v>142</v>
      </c>
      <c r="B155" s="1">
        <f>RTD("rit2.rtd",,$B$7,"LASTHIST",A155)</f>
        <v>994</v>
      </c>
      <c r="C155" s="1">
        <f t="shared" si="62"/>
        <v>15</v>
      </c>
      <c r="I155" s="2"/>
    </row>
    <row r="156" spans="1:9" x14ac:dyDescent="0.25">
      <c r="A156" s="1">
        <f t="shared" si="57"/>
        <v>143</v>
      </c>
      <c r="B156" s="1">
        <f>RTD("rit2.rtd",,$B$7,"LASTHIST",A156)</f>
        <v>994</v>
      </c>
      <c r="C156" s="1">
        <f t="shared" si="62"/>
        <v>15</v>
      </c>
      <c r="I156" s="2"/>
    </row>
    <row r="157" spans="1:9" x14ac:dyDescent="0.25">
      <c r="A157" s="1">
        <f t="shared" si="57"/>
        <v>144</v>
      </c>
      <c r="B157" s="1">
        <f>RTD("rit2.rtd",,$B$7,"LASTHIST",A157)</f>
        <v>995</v>
      </c>
      <c r="C157" s="1">
        <f t="shared" si="62"/>
        <v>15</v>
      </c>
      <c r="I157" s="2"/>
    </row>
    <row r="158" spans="1:9" x14ac:dyDescent="0.25">
      <c r="A158" s="1">
        <f t="shared" si="57"/>
        <v>145</v>
      </c>
      <c r="B158" s="1">
        <f>RTD("rit2.rtd",,$B$7,"LASTHIST",A158)</f>
        <v>995</v>
      </c>
      <c r="C158" s="1">
        <f t="shared" si="62"/>
        <v>15</v>
      </c>
      <c r="I158" s="2"/>
    </row>
    <row r="159" spans="1:9" x14ac:dyDescent="0.25">
      <c r="A159" s="1">
        <f t="shared" si="57"/>
        <v>146</v>
      </c>
      <c r="B159" s="1">
        <f>RTD("rit2.rtd",,$B$7,"LASTHIST",A159)</f>
        <v>995</v>
      </c>
      <c r="C159" s="1">
        <f t="shared" si="62"/>
        <v>15</v>
      </c>
      <c r="I159" s="2"/>
    </row>
    <row r="160" spans="1:9" x14ac:dyDescent="0.25">
      <c r="A160" s="1">
        <f t="shared" si="57"/>
        <v>147</v>
      </c>
      <c r="B160" s="1">
        <f>RTD("rit2.rtd",,$B$7,"LASTHIST",A160)</f>
        <v>994</v>
      </c>
      <c r="C160" s="1">
        <f t="shared" si="62"/>
        <v>15</v>
      </c>
      <c r="I160" s="2"/>
    </row>
    <row r="161" spans="1:9" x14ac:dyDescent="0.25">
      <c r="A161" s="1">
        <f t="shared" si="57"/>
        <v>148</v>
      </c>
      <c r="B161" s="1">
        <f>RTD("rit2.rtd",,$B$7,"LASTHIST",A161)</f>
        <v>994</v>
      </c>
      <c r="C161" s="1">
        <f t="shared" si="62"/>
        <v>15</v>
      </c>
      <c r="I161" s="2"/>
    </row>
    <row r="162" spans="1:9" x14ac:dyDescent="0.25">
      <c r="A162" s="1">
        <f t="shared" si="57"/>
        <v>149</v>
      </c>
      <c r="B162" s="1">
        <f>RTD("rit2.rtd",,$B$7,"LASTHIST",A162)</f>
        <v>994</v>
      </c>
      <c r="C162" s="1">
        <f t="shared" si="62"/>
        <v>15</v>
      </c>
      <c r="I162" s="2"/>
    </row>
    <row r="163" spans="1:9" x14ac:dyDescent="0.25">
      <c r="A163" s="1">
        <f t="shared" si="57"/>
        <v>150</v>
      </c>
      <c r="B163" s="1">
        <f>RTD("rit2.rtd",,$B$7,"LASTHIST",A163)</f>
        <v>994</v>
      </c>
      <c r="C163" s="1">
        <f t="shared" si="62"/>
        <v>15</v>
      </c>
      <c r="I163" s="2"/>
    </row>
    <row r="164" spans="1:9" x14ac:dyDescent="0.25">
      <c r="A164" s="1">
        <f t="shared" si="57"/>
        <v>151</v>
      </c>
      <c r="B164" s="1">
        <f>RTD("rit2.rtd",,$B$7,"LASTHIST",A164)</f>
        <v>995</v>
      </c>
      <c r="C164" s="1">
        <f t="shared" si="62"/>
        <v>16</v>
      </c>
      <c r="D164" s="1">
        <f t="shared" ref="D164" si="67">IF(B164=0,"",B164)</f>
        <v>995</v>
      </c>
      <c r="E164" s="1">
        <f t="shared" ref="E164" si="68">IF(B164=0,"",MAX(B164:B173))</f>
        <v>997</v>
      </c>
      <c r="F164" s="1">
        <f t="shared" ref="F164" si="69">IF(B164=0,"",IF(B173&lt;&gt;0,MIN(B164:B173),IF(B172&lt;&gt;0,MIN(B164:B172),IF(B171&lt;&gt;0,MIN(B164:B171),IF(B170&lt;&gt;0,MIN(B164:B170),IF(B169&lt;&gt;0,MIN(B164:B169),IF(B168&lt;&gt;0,MIN(B164:B168),IF(B167&lt;&gt;0,MIN(B164:B167),IF(B166&lt;&gt;0,MIN(B164:B166),IF(B165&lt;&gt;0,MIN(B164:B165),B164))))))))))</f>
        <v>995</v>
      </c>
      <c r="G164" s="1">
        <f t="shared" ref="G164" si="70">IF(AND(B173=0,F164=""),"",IF(B173=0,$B$8,B173))</f>
        <v>997</v>
      </c>
      <c r="I164" s="2"/>
    </row>
    <row r="165" spans="1:9" x14ac:dyDescent="0.25">
      <c r="A165" s="1">
        <f t="shared" si="57"/>
        <v>152</v>
      </c>
      <c r="B165" s="1">
        <f>RTD("rit2.rtd",,$B$7,"LASTHIST",A165)</f>
        <v>995</v>
      </c>
      <c r="C165" s="1">
        <f t="shared" si="62"/>
        <v>16</v>
      </c>
      <c r="I165" s="2"/>
    </row>
    <row r="166" spans="1:9" x14ac:dyDescent="0.25">
      <c r="A166" s="1">
        <f t="shared" si="57"/>
        <v>153</v>
      </c>
      <c r="B166" s="1">
        <f>RTD("rit2.rtd",,$B$7,"LASTHIST",A166)</f>
        <v>995</v>
      </c>
      <c r="C166" s="1">
        <f t="shared" si="62"/>
        <v>16</v>
      </c>
      <c r="I166" s="2"/>
    </row>
    <row r="167" spans="1:9" x14ac:dyDescent="0.25">
      <c r="A167" s="1">
        <f t="shared" si="57"/>
        <v>154</v>
      </c>
      <c r="B167" s="1">
        <f>RTD("rit2.rtd",,$B$7,"LASTHIST",A167)</f>
        <v>995</v>
      </c>
      <c r="C167" s="1">
        <f t="shared" si="62"/>
        <v>16</v>
      </c>
      <c r="I167" s="2"/>
    </row>
    <row r="168" spans="1:9" x14ac:dyDescent="0.25">
      <c r="A168" s="1">
        <f t="shared" si="57"/>
        <v>155</v>
      </c>
      <c r="B168" s="1">
        <f>RTD("rit2.rtd",,$B$7,"LASTHIST",A168)</f>
        <v>996</v>
      </c>
      <c r="C168" s="1">
        <f t="shared" si="62"/>
        <v>16</v>
      </c>
      <c r="I168" s="2"/>
    </row>
    <row r="169" spans="1:9" x14ac:dyDescent="0.25">
      <c r="A169" s="1">
        <f t="shared" si="57"/>
        <v>156</v>
      </c>
      <c r="B169" s="1">
        <f>RTD("rit2.rtd",,$B$7,"LASTHIST",A169)</f>
        <v>996</v>
      </c>
      <c r="C169" s="1">
        <f t="shared" si="62"/>
        <v>16</v>
      </c>
      <c r="I169" s="2"/>
    </row>
    <row r="170" spans="1:9" x14ac:dyDescent="0.25">
      <c r="A170" s="1">
        <f t="shared" si="57"/>
        <v>157</v>
      </c>
      <c r="B170" s="1">
        <f>RTD("rit2.rtd",,$B$7,"LASTHIST",A170)</f>
        <v>996</v>
      </c>
      <c r="C170" s="1">
        <f t="shared" si="62"/>
        <v>16</v>
      </c>
      <c r="I170" s="2"/>
    </row>
    <row r="171" spans="1:9" x14ac:dyDescent="0.25">
      <c r="A171" s="1">
        <f t="shared" si="57"/>
        <v>158</v>
      </c>
      <c r="B171" s="1">
        <f>RTD("rit2.rtd",,$B$7,"LASTHIST",A171)</f>
        <v>996</v>
      </c>
      <c r="C171" s="1">
        <f t="shared" si="62"/>
        <v>16</v>
      </c>
      <c r="I171" s="2"/>
    </row>
    <row r="172" spans="1:9" x14ac:dyDescent="0.25">
      <c r="A172" s="1">
        <f t="shared" si="57"/>
        <v>159</v>
      </c>
      <c r="B172" s="1">
        <f>RTD("rit2.rtd",,$B$7,"LASTHIST",A172)</f>
        <v>996</v>
      </c>
      <c r="C172" s="1">
        <f t="shared" si="62"/>
        <v>16</v>
      </c>
      <c r="I172" s="2"/>
    </row>
    <row r="173" spans="1:9" x14ac:dyDescent="0.25">
      <c r="A173" s="1">
        <f t="shared" si="57"/>
        <v>160</v>
      </c>
      <c r="B173" s="1">
        <f>RTD("rit2.rtd",,$B$7,"LASTHIST",A173)</f>
        <v>997</v>
      </c>
      <c r="C173" s="1">
        <f t="shared" si="62"/>
        <v>16</v>
      </c>
    </row>
    <row r="174" spans="1:9" x14ac:dyDescent="0.25">
      <c r="A174" s="1">
        <f t="shared" si="57"/>
        <v>161</v>
      </c>
      <c r="B174" s="1">
        <f>RTD("rit2.rtd",,$B$7,"LASTHIST",A174)</f>
        <v>998</v>
      </c>
      <c r="C174" s="1">
        <f t="shared" si="62"/>
        <v>17</v>
      </c>
      <c r="D174" s="1">
        <f t="shared" ref="D174" si="71">IF(B174=0,"",B174)</f>
        <v>998</v>
      </c>
      <c r="E174" s="1">
        <f t="shared" ref="E174" si="72">IF(B174=0,"",MAX(B174:B183))</f>
        <v>1000</v>
      </c>
      <c r="F174" s="1">
        <f t="shared" ref="F174" si="73">IF(B174=0,"",IF(B183&lt;&gt;0,MIN(B174:B183),IF(B182&lt;&gt;0,MIN(B174:B182),IF(B181&lt;&gt;0,MIN(B174:B181),IF(B180&lt;&gt;0,MIN(B174:B180),IF(B179&lt;&gt;0,MIN(B174:B179),IF(B178&lt;&gt;0,MIN(B174:B178),IF(B177&lt;&gt;0,MIN(B174:B177),IF(B176&lt;&gt;0,MIN(B174:B176),IF(B175&lt;&gt;0,MIN(B174:B175),B174))))))))))</f>
        <v>998</v>
      </c>
      <c r="G174" s="1">
        <f t="shared" ref="G174" si="74">IF(AND(B183=0,F174=""),"",IF(B183=0,$B$8,B183))</f>
        <v>1000</v>
      </c>
    </row>
    <row r="175" spans="1:9" x14ac:dyDescent="0.25">
      <c r="A175" s="1">
        <f t="shared" si="57"/>
        <v>162</v>
      </c>
      <c r="B175" s="1">
        <f>RTD("rit2.rtd",,$B$7,"LASTHIST",A175)</f>
        <v>998</v>
      </c>
      <c r="C175" s="1">
        <f t="shared" si="62"/>
        <v>17</v>
      </c>
    </row>
    <row r="176" spans="1:9" x14ac:dyDescent="0.25">
      <c r="A176" s="1">
        <f t="shared" si="57"/>
        <v>163</v>
      </c>
      <c r="B176" s="1">
        <f>RTD("rit2.rtd",,$B$7,"LASTHIST",A176)</f>
        <v>999</v>
      </c>
      <c r="C176" s="1">
        <f t="shared" si="62"/>
        <v>17</v>
      </c>
    </row>
    <row r="177" spans="1:7" x14ac:dyDescent="0.25">
      <c r="A177" s="1">
        <f t="shared" si="57"/>
        <v>164</v>
      </c>
      <c r="B177" s="1">
        <f>RTD("rit2.rtd",,$B$7,"LASTHIST",A177)</f>
        <v>999</v>
      </c>
      <c r="C177" s="1">
        <f t="shared" si="62"/>
        <v>17</v>
      </c>
    </row>
    <row r="178" spans="1:7" x14ac:dyDescent="0.25">
      <c r="A178" s="1">
        <f t="shared" si="57"/>
        <v>165</v>
      </c>
      <c r="B178" s="1">
        <f>RTD("rit2.rtd",,$B$7,"LASTHIST",A178)</f>
        <v>999</v>
      </c>
      <c r="C178" s="1">
        <f t="shared" si="62"/>
        <v>17</v>
      </c>
    </row>
    <row r="179" spans="1:7" x14ac:dyDescent="0.25">
      <c r="A179" s="1">
        <f t="shared" si="57"/>
        <v>166</v>
      </c>
      <c r="B179" s="1">
        <f>RTD("rit2.rtd",,$B$7,"LASTHIST",A179)</f>
        <v>1000</v>
      </c>
      <c r="C179" s="1">
        <f t="shared" si="62"/>
        <v>17</v>
      </c>
    </row>
    <row r="180" spans="1:7" x14ac:dyDescent="0.25">
      <c r="A180" s="1">
        <f t="shared" si="57"/>
        <v>167</v>
      </c>
      <c r="B180" s="1">
        <f>RTD("rit2.rtd",,$B$7,"LASTHIST",A180)</f>
        <v>1000</v>
      </c>
      <c r="C180" s="1">
        <f t="shared" si="62"/>
        <v>17</v>
      </c>
    </row>
    <row r="181" spans="1:7" x14ac:dyDescent="0.25">
      <c r="A181" s="1">
        <f t="shared" si="57"/>
        <v>168</v>
      </c>
      <c r="B181" s="1">
        <f>RTD("rit2.rtd",,$B$7,"LASTHIST",A181)</f>
        <v>1000</v>
      </c>
      <c r="C181" s="1">
        <f t="shared" si="62"/>
        <v>17</v>
      </c>
    </row>
    <row r="182" spans="1:7" x14ac:dyDescent="0.25">
      <c r="A182" s="1">
        <f t="shared" si="57"/>
        <v>169</v>
      </c>
      <c r="B182" s="1">
        <f>RTD("rit2.rtd",,$B$7,"LASTHIST",A182)</f>
        <v>1000</v>
      </c>
      <c r="C182" s="1">
        <f t="shared" si="62"/>
        <v>17</v>
      </c>
    </row>
    <row r="183" spans="1:7" x14ac:dyDescent="0.25">
      <c r="A183" s="1">
        <f t="shared" si="57"/>
        <v>170</v>
      </c>
      <c r="B183" s="1">
        <f>RTD("rit2.rtd",,$B$7,"LASTHIST",A183)</f>
        <v>1000</v>
      </c>
      <c r="C183" s="1">
        <f t="shared" si="62"/>
        <v>17</v>
      </c>
    </row>
    <row r="184" spans="1:7" x14ac:dyDescent="0.25">
      <c r="A184" s="1">
        <f t="shared" si="57"/>
        <v>171</v>
      </c>
      <c r="B184" s="1">
        <f>RTD("rit2.rtd",,$B$7,"LASTHIST",A184)</f>
        <v>1000</v>
      </c>
      <c r="C184" s="1">
        <f t="shared" si="62"/>
        <v>18</v>
      </c>
      <c r="D184" s="1">
        <f t="shared" ref="D184" si="75">IF(B184=0,"",B184)</f>
        <v>1000</v>
      </c>
      <c r="E184" s="1">
        <f t="shared" ref="E184" si="76">IF(B184=0,"",MAX(B184:B193))</f>
        <v>1005</v>
      </c>
      <c r="F184" s="1">
        <f t="shared" ref="F184" si="77">IF(B184=0,"",IF(B193&lt;&gt;0,MIN(B184:B193),IF(B192&lt;&gt;0,MIN(B184:B192),IF(B191&lt;&gt;0,MIN(B184:B191),IF(B190&lt;&gt;0,MIN(B184:B190),IF(B189&lt;&gt;0,MIN(B184:B189),IF(B188&lt;&gt;0,MIN(B184:B188),IF(B187&lt;&gt;0,MIN(B184:B187),IF(B186&lt;&gt;0,MIN(B184:B186),IF(B185&lt;&gt;0,MIN(B184:B185),B184))))))))))</f>
        <v>999</v>
      </c>
      <c r="G184" s="1">
        <f t="shared" ref="G184" si="78">IF(AND(B193=0,F184=""),"",IF(B193=0,$B$8,B193))</f>
        <v>1004</v>
      </c>
    </row>
    <row r="185" spans="1:7" x14ac:dyDescent="0.25">
      <c r="A185" s="1">
        <f t="shared" si="57"/>
        <v>172</v>
      </c>
      <c r="B185" s="1">
        <f>RTD("rit2.rtd",,$B$7,"LASTHIST",A185)</f>
        <v>1000</v>
      </c>
      <c r="C185" s="1">
        <f t="shared" si="62"/>
        <v>18</v>
      </c>
    </row>
    <row r="186" spans="1:7" x14ac:dyDescent="0.25">
      <c r="A186" s="1">
        <f t="shared" si="57"/>
        <v>173</v>
      </c>
      <c r="B186" s="1">
        <f>RTD("rit2.rtd",,$B$7,"LASTHIST",A186)</f>
        <v>1000</v>
      </c>
      <c r="C186" s="1">
        <f t="shared" si="62"/>
        <v>18</v>
      </c>
    </row>
    <row r="187" spans="1:7" x14ac:dyDescent="0.25">
      <c r="A187" s="1">
        <f t="shared" si="57"/>
        <v>174</v>
      </c>
      <c r="B187" s="1">
        <f>RTD("rit2.rtd",,$B$7,"LASTHIST",A187)</f>
        <v>999</v>
      </c>
      <c r="C187" s="1">
        <f t="shared" si="62"/>
        <v>18</v>
      </c>
    </row>
    <row r="188" spans="1:7" x14ac:dyDescent="0.25">
      <c r="A188" s="1">
        <f t="shared" si="57"/>
        <v>175</v>
      </c>
      <c r="B188" s="1">
        <f>RTD("rit2.rtd",,$B$7,"LASTHIST",A188)</f>
        <v>1001</v>
      </c>
      <c r="C188" s="1">
        <f t="shared" si="62"/>
        <v>18</v>
      </c>
    </row>
    <row r="189" spans="1:7" x14ac:dyDescent="0.25">
      <c r="A189" s="1">
        <f t="shared" si="57"/>
        <v>176</v>
      </c>
      <c r="B189" s="1">
        <f>RTD("rit2.rtd",,$B$7,"LASTHIST",A189)</f>
        <v>1002</v>
      </c>
      <c r="C189" s="1">
        <f t="shared" si="62"/>
        <v>18</v>
      </c>
    </row>
    <row r="190" spans="1:7" x14ac:dyDescent="0.25">
      <c r="A190" s="1">
        <f t="shared" si="57"/>
        <v>177</v>
      </c>
      <c r="B190" s="1">
        <f>RTD("rit2.rtd",,$B$7,"LASTHIST",A190)</f>
        <v>1004</v>
      </c>
      <c r="C190" s="1">
        <f t="shared" si="62"/>
        <v>18</v>
      </c>
    </row>
    <row r="191" spans="1:7" x14ac:dyDescent="0.25">
      <c r="A191" s="1">
        <f t="shared" si="57"/>
        <v>178</v>
      </c>
      <c r="B191" s="1">
        <f>RTD("rit2.rtd",,$B$7,"LASTHIST",A191)</f>
        <v>1005</v>
      </c>
      <c r="C191" s="1">
        <f t="shared" si="62"/>
        <v>18</v>
      </c>
    </row>
    <row r="192" spans="1:7" x14ac:dyDescent="0.25">
      <c r="A192" s="1">
        <f t="shared" si="57"/>
        <v>179</v>
      </c>
      <c r="B192" s="1">
        <f>RTD("rit2.rtd",,$B$7,"LASTHIST",A192)</f>
        <v>1004</v>
      </c>
      <c r="C192" s="1">
        <f t="shared" si="62"/>
        <v>18</v>
      </c>
    </row>
    <row r="193" spans="1:7" x14ac:dyDescent="0.25">
      <c r="A193" s="1">
        <f t="shared" si="57"/>
        <v>180</v>
      </c>
      <c r="B193" s="1">
        <f>RTD("rit2.rtd",,$B$7,"LASTHIST",A193)</f>
        <v>1004</v>
      </c>
      <c r="C193" s="1">
        <f t="shared" si="62"/>
        <v>18</v>
      </c>
    </row>
    <row r="194" spans="1:7" x14ac:dyDescent="0.25">
      <c r="A194" s="1">
        <f t="shared" si="57"/>
        <v>181</v>
      </c>
      <c r="B194" s="1">
        <f>RTD("rit2.rtd",,$B$7,"LASTHIST",A194)</f>
        <v>1005</v>
      </c>
      <c r="C194" s="1">
        <f t="shared" si="62"/>
        <v>19</v>
      </c>
      <c r="D194" s="1">
        <f t="shared" ref="D194" si="79">IF(B194=0,"",B194)</f>
        <v>1005</v>
      </c>
      <c r="E194" s="1">
        <f t="shared" ref="E194" si="80">IF(B194=0,"",MAX(B194:B203))</f>
        <v>1005</v>
      </c>
      <c r="F194" s="1">
        <f t="shared" ref="F194" si="81">IF(B194=0,"",IF(B203&lt;&gt;0,MIN(B194:B203),IF(B202&lt;&gt;0,MIN(B194:B202),IF(B201&lt;&gt;0,MIN(B194:B201),IF(B200&lt;&gt;0,MIN(B194:B200),IF(B199&lt;&gt;0,MIN(B194:B199),IF(B198&lt;&gt;0,MIN(B194:B198),IF(B197&lt;&gt;0,MIN(B194:B197),IF(B196&lt;&gt;0,MIN(B194:B196),IF(B195&lt;&gt;0,MIN(B194:B195),B194))))))))))</f>
        <v>1004</v>
      </c>
      <c r="G194" s="1">
        <f t="shared" ref="G194" si="82">IF(AND(B203=0,F194=""),"",IF(B203=0,$B$8,B203))</f>
        <v>1005</v>
      </c>
    </row>
    <row r="195" spans="1:7" x14ac:dyDescent="0.25">
      <c r="A195" s="1">
        <f t="shared" si="57"/>
        <v>182</v>
      </c>
      <c r="B195" s="1">
        <f>RTD("rit2.rtd",,$B$7,"LASTHIST",A195)</f>
        <v>1004</v>
      </c>
      <c r="C195" s="1">
        <f t="shared" si="62"/>
        <v>19</v>
      </c>
    </row>
    <row r="196" spans="1:7" x14ac:dyDescent="0.25">
      <c r="A196" s="1">
        <f t="shared" si="57"/>
        <v>183</v>
      </c>
      <c r="B196" s="1">
        <f>RTD("rit2.rtd",,$B$7,"LASTHIST",A196)</f>
        <v>1004</v>
      </c>
      <c r="C196" s="1">
        <f t="shared" si="62"/>
        <v>19</v>
      </c>
    </row>
    <row r="197" spans="1:7" x14ac:dyDescent="0.25">
      <c r="A197" s="1">
        <f t="shared" si="57"/>
        <v>184</v>
      </c>
      <c r="B197" s="1">
        <f>RTD("rit2.rtd",,$B$7,"LASTHIST",A197)</f>
        <v>1004</v>
      </c>
      <c r="C197" s="1">
        <f t="shared" si="62"/>
        <v>19</v>
      </c>
    </row>
    <row r="198" spans="1:7" x14ac:dyDescent="0.25">
      <c r="A198" s="1">
        <f t="shared" si="57"/>
        <v>185</v>
      </c>
      <c r="B198" s="1">
        <f>RTD("rit2.rtd",,$B$7,"LASTHIST",A198)</f>
        <v>1004</v>
      </c>
      <c r="C198" s="1">
        <f t="shared" si="62"/>
        <v>19</v>
      </c>
    </row>
    <row r="199" spans="1:7" x14ac:dyDescent="0.25">
      <c r="A199" s="1">
        <f t="shared" si="57"/>
        <v>186</v>
      </c>
      <c r="B199" s="1">
        <f>RTD("rit2.rtd",,$B$7,"LASTHIST",A199)</f>
        <v>1004</v>
      </c>
      <c r="C199" s="1">
        <f t="shared" si="62"/>
        <v>19</v>
      </c>
    </row>
    <row r="200" spans="1:7" x14ac:dyDescent="0.25">
      <c r="A200" s="1">
        <f t="shared" si="57"/>
        <v>187</v>
      </c>
      <c r="B200" s="1">
        <f>RTD("rit2.rtd",,$B$7,"LASTHIST",A200)</f>
        <v>1004</v>
      </c>
      <c r="C200" s="1">
        <f t="shared" si="62"/>
        <v>19</v>
      </c>
    </row>
    <row r="201" spans="1:7" x14ac:dyDescent="0.25">
      <c r="A201" s="1">
        <f t="shared" si="57"/>
        <v>188</v>
      </c>
      <c r="B201" s="1">
        <f>RTD("rit2.rtd",,$B$7,"LASTHIST",A201)</f>
        <v>1005</v>
      </c>
      <c r="C201" s="1">
        <f t="shared" si="62"/>
        <v>19</v>
      </c>
    </row>
    <row r="202" spans="1:7" x14ac:dyDescent="0.25">
      <c r="A202" s="1">
        <f t="shared" si="57"/>
        <v>189</v>
      </c>
      <c r="B202" s="1">
        <f>RTD("rit2.rtd",,$B$7,"LASTHIST",A202)</f>
        <v>1005</v>
      </c>
      <c r="C202" s="1">
        <f t="shared" si="62"/>
        <v>19</v>
      </c>
    </row>
    <row r="203" spans="1:7" x14ac:dyDescent="0.25">
      <c r="A203" s="1">
        <f t="shared" si="57"/>
        <v>190</v>
      </c>
      <c r="B203" s="1">
        <f>RTD("rit2.rtd",,$B$7,"LASTHIST",A203)</f>
        <v>1005</v>
      </c>
      <c r="C203" s="1">
        <f t="shared" si="62"/>
        <v>19</v>
      </c>
    </row>
    <row r="204" spans="1:7" x14ac:dyDescent="0.25">
      <c r="A204" s="1">
        <f t="shared" si="57"/>
        <v>191</v>
      </c>
      <c r="B204" s="1">
        <f>RTD("rit2.rtd",,$B$7,"LASTHIST",A204)</f>
        <v>1004</v>
      </c>
      <c r="C204" s="1">
        <f t="shared" si="62"/>
        <v>20</v>
      </c>
      <c r="D204" s="1">
        <f t="shared" ref="D204" si="83">IF(B204=0,"",B204)</f>
        <v>1004</v>
      </c>
      <c r="E204" s="1">
        <f t="shared" ref="E204" si="84">IF(B204=0,"",MAX(B204:B213))</f>
        <v>1005</v>
      </c>
      <c r="F204" s="1">
        <f t="shared" ref="F204" si="85">IF(B204=0,"",IF(B213&lt;&gt;0,MIN(B204:B213),IF(B212&lt;&gt;0,MIN(B204:B212),IF(B211&lt;&gt;0,MIN(B204:B211),IF(B210&lt;&gt;0,MIN(B204:B210),IF(B209&lt;&gt;0,MIN(B204:B209),IF(B208&lt;&gt;0,MIN(B204:B208),IF(B207&lt;&gt;0,MIN(B204:B207),IF(B206&lt;&gt;0,MIN(B204:B206),IF(B205&lt;&gt;0,MIN(B204:B205),B204))))))))))</f>
        <v>1002</v>
      </c>
      <c r="G204" s="1">
        <f t="shared" ref="G204" si="86">IF(AND(B213=0,F204=""),"",IF(B213=0,$B$8,B213))</f>
        <v>1002</v>
      </c>
    </row>
    <row r="205" spans="1:7" x14ac:dyDescent="0.25">
      <c r="A205" s="1">
        <f t="shared" si="57"/>
        <v>192</v>
      </c>
      <c r="B205" s="1">
        <f>RTD("rit2.rtd",,$B$7,"LASTHIST",A205)</f>
        <v>1005</v>
      </c>
      <c r="C205" s="1">
        <f t="shared" si="62"/>
        <v>20</v>
      </c>
    </row>
    <row r="206" spans="1:7" x14ac:dyDescent="0.25">
      <c r="A206" s="1">
        <f t="shared" si="57"/>
        <v>193</v>
      </c>
      <c r="B206" s="1">
        <f>RTD("rit2.rtd",,$B$7,"LASTHIST",A206)</f>
        <v>1004</v>
      </c>
      <c r="C206" s="1">
        <f t="shared" si="62"/>
        <v>20</v>
      </c>
    </row>
    <row r="207" spans="1:7" x14ac:dyDescent="0.25">
      <c r="A207" s="1">
        <f t="shared" si="57"/>
        <v>194</v>
      </c>
      <c r="B207" s="1">
        <f>RTD("rit2.rtd",,$B$7,"LASTHIST",A207)</f>
        <v>1004</v>
      </c>
      <c r="C207" s="1">
        <f t="shared" si="62"/>
        <v>20</v>
      </c>
    </row>
    <row r="208" spans="1:7" x14ac:dyDescent="0.25">
      <c r="A208" s="1">
        <f t="shared" ref="A208:A271" si="87">A207+1</f>
        <v>195</v>
      </c>
      <c r="B208" s="1">
        <f>RTD("rit2.rtd",,$B$7,"LASTHIST",A208)</f>
        <v>1004</v>
      </c>
      <c r="C208" s="1">
        <f t="shared" si="62"/>
        <v>20</v>
      </c>
    </row>
    <row r="209" spans="1:7" x14ac:dyDescent="0.25">
      <c r="A209" s="1">
        <f t="shared" si="87"/>
        <v>196</v>
      </c>
      <c r="B209" s="1">
        <f>RTD("rit2.rtd",,$B$7,"LASTHIST",A209)</f>
        <v>1004</v>
      </c>
      <c r="C209" s="1">
        <f t="shared" si="62"/>
        <v>20</v>
      </c>
    </row>
    <row r="210" spans="1:7" x14ac:dyDescent="0.25">
      <c r="A210" s="1">
        <f t="shared" si="87"/>
        <v>197</v>
      </c>
      <c r="B210" s="1">
        <f>RTD("rit2.rtd",,$B$7,"LASTHIST",A210)</f>
        <v>1004</v>
      </c>
      <c r="C210" s="1">
        <f t="shared" si="62"/>
        <v>20</v>
      </c>
    </row>
    <row r="211" spans="1:7" x14ac:dyDescent="0.25">
      <c r="A211" s="1">
        <f t="shared" si="87"/>
        <v>198</v>
      </c>
      <c r="B211" s="1">
        <f>RTD("rit2.rtd",,$B$7,"LASTHIST",A211)</f>
        <v>1003</v>
      </c>
      <c r="C211" s="1">
        <f t="shared" si="62"/>
        <v>20</v>
      </c>
    </row>
    <row r="212" spans="1:7" x14ac:dyDescent="0.25">
      <c r="A212" s="1">
        <f t="shared" si="87"/>
        <v>199</v>
      </c>
      <c r="B212" s="1">
        <f>RTD("rit2.rtd",,$B$7,"LASTHIST",A212)</f>
        <v>1003</v>
      </c>
      <c r="C212" s="1">
        <f t="shared" si="62"/>
        <v>20</v>
      </c>
    </row>
    <row r="213" spans="1:7" x14ac:dyDescent="0.25">
      <c r="A213" s="1">
        <f t="shared" si="87"/>
        <v>200</v>
      </c>
      <c r="B213" s="1">
        <f>RTD("rit2.rtd",,$B$7,"LASTHIST",A213)</f>
        <v>1002</v>
      </c>
      <c r="C213" s="1">
        <f t="shared" si="62"/>
        <v>20</v>
      </c>
    </row>
    <row r="214" spans="1:7" x14ac:dyDescent="0.25">
      <c r="A214" s="1">
        <f t="shared" si="87"/>
        <v>201</v>
      </c>
      <c r="B214" s="1">
        <f>RTD("rit2.rtd",,$B$7,"LASTHIST",A214)</f>
        <v>1000</v>
      </c>
      <c r="C214" s="1">
        <f t="shared" si="62"/>
        <v>21</v>
      </c>
      <c r="D214" s="1">
        <f t="shared" ref="D214" si="88">IF(B214=0,"",B214)</f>
        <v>1000</v>
      </c>
      <c r="E214" s="1">
        <f t="shared" ref="E214" si="89">IF(B214=0,"",MAX(B214:B223))</f>
        <v>1000</v>
      </c>
      <c r="F214" s="1">
        <f t="shared" ref="F214" si="90">IF(B214=0,"",IF(B223&lt;&gt;0,MIN(B214:B223),IF(B222&lt;&gt;0,MIN(B214:B222),IF(B221&lt;&gt;0,MIN(B214:B221),IF(B220&lt;&gt;0,MIN(B214:B220),IF(B219&lt;&gt;0,MIN(B214:B219),IF(B218&lt;&gt;0,MIN(B214:B218),IF(B217&lt;&gt;0,MIN(B214:B217),IF(B216&lt;&gt;0,MIN(B214:B216),IF(B215&lt;&gt;0,MIN(B214:B215),B214))))))))))</f>
        <v>999</v>
      </c>
      <c r="G214" s="1">
        <f t="shared" ref="G214" si="91">IF(AND(B223=0,F214=""),"",IF(B223=0,$B$8,B223))</f>
        <v>1000</v>
      </c>
    </row>
    <row r="215" spans="1:7" x14ac:dyDescent="0.25">
      <c r="A215" s="1">
        <f t="shared" si="87"/>
        <v>202</v>
      </c>
      <c r="B215" s="1">
        <f>RTD("rit2.rtd",,$B$7,"LASTHIST",A215)</f>
        <v>999</v>
      </c>
      <c r="C215" s="1">
        <f t="shared" si="62"/>
        <v>21</v>
      </c>
    </row>
    <row r="216" spans="1:7" x14ac:dyDescent="0.25">
      <c r="A216" s="1">
        <f t="shared" si="87"/>
        <v>203</v>
      </c>
      <c r="B216" s="1">
        <f>RTD("rit2.rtd",,$B$7,"LASTHIST",A216)</f>
        <v>999</v>
      </c>
      <c r="C216" s="1">
        <f t="shared" si="62"/>
        <v>21</v>
      </c>
    </row>
    <row r="217" spans="1:7" x14ac:dyDescent="0.25">
      <c r="A217" s="1">
        <f t="shared" si="87"/>
        <v>204</v>
      </c>
      <c r="B217" s="1">
        <f>RTD("rit2.rtd",,$B$7,"LASTHIST",A217)</f>
        <v>999</v>
      </c>
      <c r="C217" s="1">
        <f t="shared" ref="C217:C280" si="92">C207+1</f>
        <v>21</v>
      </c>
    </row>
    <row r="218" spans="1:7" x14ac:dyDescent="0.25">
      <c r="A218" s="1">
        <f t="shared" si="87"/>
        <v>205</v>
      </c>
      <c r="B218" s="1">
        <f>RTD("rit2.rtd",,$B$7,"LASTHIST",A218)</f>
        <v>999</v>
      </c>
      <c r="C218" s="1">
        <f t="shared" si="92"/>
        <v>21</v>
      </c>
    </row>
    <row r="219" spans="1:7" x14ac:dyDescent="0.25">
      <c r="A219" s="1">
        <f t="shared" si="87"/>
        <v>206</v>
      </c>
      <c r="B219" s="1">
        <f>RTD("rit2.rtd",,$B$7,"LASTHIST",A219)</f>
        <v>999</v>
      </c>
      <c r="C219" s="1">
        <f t="shared" si="92"/>
        <v>21</v>
      </c>
    </row>
    <row r="220" spans="1:7" x14ac:dyDescent="0.25">
      <c r="A220" s="1">
        <f t="shared" si="87"/>
        <v>207</v>
      </c>
      <c r="B220" s="1">
        <f>RTD("rit2.rtd",,$B$7,"LASTHIST",A220)</f>
        <v>999</v>
      </c>
      <c r="C220" s="1">
        <f t="shared" si="92"/>
        <v>21</v>
      </c>
    </row>
    <row r="221" spans="1:7" x14ac:dyDescent="0.25">
      <c r="A221" s="1">
        <f t="shared" si="87"/>
        <v>208</v>
      </c>
      <c r="B221" s="1">
        <f>RTD("rit2.rtd",,$B$7,"LASTHIST",A221)</f>
        <v>1000</v>
      </c>
      <c r="C221" s="1">
        <f t="shared" si="92"/>
        <v>21</v>
      </c>
    </row>
    <row r="222" spans="1:7" x14ac:dyDescent="0.25">
      <c r="A222" s="1">
        <f t="shared" si="87"/>
        <v>209</v>
      </c>
      <c r="B222" s="1">
        <f>RTD("rit2.rtd",,$B$7,"LASTHIST",A222)</f>
        <v>999</v>
      </c>
      <c r="C222" s="1">
        <f t="shared" si="92"/>
        <v>21</v>
      </c>
    </row>
    <row r="223" spans="1:7" x14ac:dyDescent="0.25">
      <c r="A223" s="1">
        <f t="shared" si="87"/>
        <v>210</v>
      </c>
      <c r="B223" s="1">
        <f>RTD("rit2.rtd",,$B$7,"LASTHIST",A223)</f>
        <v>1000</v>
      </c>
      <c r="C223" s="1">
        <f t="shared" si="92"/>
        <v>21</v>
      </c>
    </row>
    <row r="224" spans="1:7" x14ac:dyDescent="0.25">
      <c r="A224" s="1">
        <f t="shared" si="87"/>
        <v>211</v>
      </c>
      <c r="B224" s="1">
        <f>RTD("rit2.rtd",,$B$7,"LASTHIST",A224)</f>
        <v>1000</v>
      </c>
      <c r="C224" s="1">
        <f t="shared" si="92"/>
        <v>22</v>
      </c>
      <c r="D224" s="1">
        <f t="shared" ref="D224" si="93">IF(B224=0,"",B224)</f>
        <v>1000</v>
      </c>
      <c r="E224" s="1">
        <f t="shared" ref="E224" si="94">IF(B224=0,"",MAX(B224:B233))</f>
        <v>1001</v>
      </c>
      <c r="F224" s="1">
        <f t="shared" ref="F224" si="95">IF(B224=0,"",IF(B233&lt;&gt;0,MIN(B224:B233),IF(B232&lt;&gt;0,MIN(B224:B232),IF(B231&lt;&gt;0,MIN(B224:B231),IF(B230&lt;&gt;0,MIN(B224:B230),IF(B229&lt;&gt;0,MIN(B224:B229),IF(B228&lt;&gt;0,MIN(B224:B228),IF(B227&lt;&gt;0,MIN(B224:B227),IF(B226&lt;&gt;0,MIN(B224:B226),IF(B225&lt;&gt;0,MIN(B224:B225),B224))))))))))</f>
        <v>998</v>
      </c>
      <c r="G224" s="1">
        <f t="shared" ref="G224" si="96">IF(AND(B233=0,F224=""),"",IF(B233=0,$B$8,B233))</f>
        <v>1001</v>
      </c>
    </row>
    <row r="225" spans="1:7" x14ac:dyDescent="0.25">
      <c r="A225" s="1">
        <f t="shared" si="87"/>
        <v>212</v>
      </c>
      <c r="B225" s="1">
        <f>RTD("rit2.rtd",,$B$7,"LASTHIST",A225)</f>
        <v>999</v>
      </c>
      <c r="C225" s="1">
        <f t="shared" si="92"/>
        <v>22</v>
      </c>
    </row>
    <row r="226" spans="1:7" x14ac:dyDescent="0.25">
      <c r="A226" s="1">
        <f t="shared" si="87"/>
        <v>213</v>
      </c>
      <c r="B226" s="1">
        <f>RTD("rit2.rtd",,$B$7,"LASTHIST",A226)</f>
        <v>999</v>
      </c>
      <c r="C226" s="1">
        <f t="shared" si="92"/>
        <v>22</v>
      </c>
    </row>
    <row r="227" spans="1:7" x14ac:dyDescent="0.25">
      <c r="A227" s="1">
        <f t="shared" si="87"/>
        <v>214</v>
      </c>
      <c r="B227" s="1">
        <f>RTD("rit2.rtd",,$B$7,"LASTHIST",A227)</f>
        <v>998</v>
      </c>
      <c r="C227" s="1">
        <f t="shared" si="92"/>
        <v>22</v>
      </c>
    </row>
    <row r="228" spans="1:7" x14ac:dyDescent="0.25">
      <c r="A228" s="1">
        <f t="shared" si="87"/>
        <v>215</v>
      </c>
      <c r="B228" s="1">
        <f>RTD("rit2.rtd",,$B$7,"LASTHIST",A228)</f>
        <v>999</v>
      </c>
      <c r="C228" s="1">
        <f t="shared" si="92"/>
        <v>22</v>
      </c>
    </row>
    <row r="229" spans="1:7" x14ac:dyDescent="0.25">
      <c r="A229" s="1">
        <f t="shared" si="87"/>
        <v>216</v>
      </c>
      <c r="B229" s="1">
        <f>RTD("rit2.rtd",,$B$7,"LASTHIST",A229)</f>
        <v>999</v>
      </c>
      <c r="C229" s="1">
        <f t="shared" si="92"/>
        <v>22</v>
      </c>
    </row>
    <row r="230" spans="1:7" x14ac:dyDescent="0.25">
      <c r="A230" s="1">
        <f t="shared" si="87"/>
        <v>217</v>
      </c>
      <c r="B230" s="1">
        <f>RTD("rit2.rtd",,$B$7,"LASTHIST",A230)</f>
        <v>998</v>
      </c>
      <c r="C230" s="1">
        <f t="shared" si="92"/>
        <v>22</v>
      </c>
    </row>
    <row r="231" spans="1:7" x14ac:dyDescent="0.25">
      <c r="A231" s="1">
        <f t="shared" si="87"/>
        <v>218</v>
      </c>
      <c r="B231" s="1">
        <f>RTD("rit2.rtd",,$B$7,"LASTHIST",A231)</f>
        <v>999</v>
      </c>
      <c r="C231" s="1">
        <f t="shared" si="92"/>
        <v>22</v>
      </c>
    </row>
    <row r="232" spans="1:7" x14ac:dyDescent="0.25">
      <c r="A232" s="1">
        <f t="shared" si="87"/>
        <v>219</v>
      </c>
      <c r="B232" s="1">
        <f>RTD("rit2.rtd",,$B$7,"LASTHIST",A232)</f>
        <v>1000</v>
      </c>
      <c r="C232" s="1">
        <f t="shared" si="92"/>
        <v>22</v>
      </c>
    </row>
    <row r="233" spans="1:7" x14ac:dyDescent="0.25">
      <c r="A233" s="1">
        <f t="shared" si="87"/>
        <v>220</v>
      </c>
      <c r="B233" s="1">
        <f>RTD("rit2.rtd",,$B$7,"LASTHIST",A233)</f>
        <v>1001</v>
      </c>
      <c r="C233" s="1">
        <f t="shared" si="92"/>
        <v>22</v>
      </c>
    </row>
    <row r="234" spans="1:7" x14ac:dyDescent="0.25">
      <c r="A234" s="1">
        <f t="shared" si="87"/>
        <v>221</v>
      </c>
      <c r="B234" s="1">
        <f>RTD("rit2.rtd",,$B$7,"LASTHIST",A234)</f>
        <v>1001</v>
      </c>
      <c r="C234" s="1">
        <f t="shared" si="92"/>
        <v>23</v>
      </c>
      <c r="D234" s="1">
        <f t="shared" ref="D234" si="97">IF(B234=0,"",B234)</f>
        <v>1001</v>
      </c>
      <c r="E234" s="1">
        <f t="shared" ref="E234" si="98">IF(B234=0,"",MAX(B234:B243))</f>
        <v>1003</v>
      </c>
      <c r="F234" s="1">
        <f t="shared" ref="F234" si="99">IF(B234=0,"",IF(B243&lt;&gt;0,MIN(B234:B243),IF(B242&lt;&gt;0,MIN(B234:B242),IF(B241&lt;&gt;0,MIN(B234:B241),IF(B240&lt;&gt;0,MIN(B234:B240),IF(B239&lt;&gt;0,MIN(B234:B239),IF(B238&lt;&gt;0,MIN(B234:B238),IF(B237&lt;&gt;0,MIN(B234:B237),IF(B236&lt;&gt;0,MIN(B234:B236),IF(B235&lt;&gt;0,MIN(B234:B235),B234))))))))))</f>
        <v>1001</v>
      </c>
      <c r="G234" s="1">
        <f t="shared" ref="G234" si="100">IF(AND(B243=0,F234=""),"",IF(B243=0,$B$8,B243))</f>
        <v>1002</v>
      </c>
    </row>
    <row r="235" spans="1:7" x14ac:dyDescent="0.25">
      <c r="A235" s="1">
        <f t="shared" si="87"/>
        <v>222</v>
      </c>
      <c r="B235" s="1">
        <f>RTD("rit2.rtd",,$B$7,"LASTHIST",A235)</f>
        <v>1001</v>
      </c>
      <c r="C235" s="1">
        <f t="shared" si="92"/>
        <v>23</v>
      </c>
    </row>
    <row r="236" spans="1:7" x14ac:dyDescent="0.25">
      <c r="A236" s="1">
        <f t="shared" si="87"/>
        <v>223</v>
      </c>
      <c r="B236" s="1">
        <f>RTD("rit2.rtd",,$B$7,"LASTHIST",A236)</f>
        <v>1002</v>
      </c>
      <c r="C236" s="1">
        <f t="shared" si="92"/>
        <v>23</v>
      </c>
    </row>
    <row r="237" spans="1:7" x14ac:dyDescent="0.25">
      <c r="A237" s="1">
        <f t="shared" si="87"/>
        <v>224</v>
      </c>
      <c r="B237" s="1">
        <f>RTD("rit2.rtd",,$B$7,"LASTHIST",A237)</f>
        <v>1002</v>
      </c>
      <c r="C237" s="1">
        <f t="shared" si="92"/>
        <v>23</v>
      </c>
    </row>
    <row r="238" spans="1:7" x14ac:dyDescent="0.25">
      <c r="A238" s="1">
        <f t="shared" si="87"/>
        <v>225</v>
      </c>
      <c r="B238" s="1">
        <f>RTD("rit2.rtd",,$B$7,"LASTHIST",A238)</f>
        <v>1003</v>
      </c>
      <c r="C238" s="1">
        <f t="shared" si="92"/>
        <v>23</v>
      </c>
    </row>
    <row r="239" spans="1:7" x14ac:dyDescent="0.25">
      <c r="A239" s="1">
        <f t="shared" si="87"/>
        <v>226</v>
      </c>
      <c r="B239" s="1">
        <f>RTD("rit2.rtd",,$B$7,"LASTHIST",A239)</f>
        <v>1002</v>
      </c>
      <c r="C239" s="1">
        <f t="shared" si="92"/>
        <v>23</v>
      </c>
    </row>
    <row r="240" spans="1:7" x14ac:dyDescent="0.25">
      <c r="A240" s="1">
        <f t="shared" si="87"/>
        <v>227</v>
      </c>
      <c r="B240" s="1">
        <f>RTD("rit2.rtd",,$B$7,"LASTHIST",A240)</f>
        <v>1002</v>
      </c>
      <c r="C240" s="1">
        <f t="shared" si="92"/>
        <v>23</v>
      </c>
    </row>
    <row r="241" spans="1:7" x14ac:dyDescent="0.25">
      <c r="A241" s="1">
        <f t="shared" si="87"/>
        <v>228</v>
      </c>
      <c r="B241" s="1">
        <f>RTD("rit2.rtd",,$B$7,"LASTHIST",A241)</f>
        <v>1003</v>
      </c>
      <c r="C241" s="1">
        <f t="shared" si="92"/>
        <v>23</v>
      </c>
    </row>
    <row r="242" spans="1:7" x14ac:dyDescent="0.25">
      <c r="A242" s="1">
        <f t="shared" si="87"/>
        <v>229</v>
      </c>
      <c r="B242" s="1">
        <f>RTD("rit2.rtd",,$B$7,"LASTHIST",A242)</f>
        <v>1002</v>
      </c>
      <c r="C242" s="1">
        <f t="shared" si="92"/>
        <v>23</v>
      </c>
    </row>
    <row r="243" spans="1:7" x14ac:dyDescent="0.25">
      <c r="A243" s="1">
        <f t="shared" si="87"/>
        <v>230</v>
      </c>
      <c r="B243" s="1">
        <f>RTD("rit2.rtd",,$B$7,"LASTHIST",A243)</f>
        <v>1002</v>
      </c>
      <c r="C243" s="1">
        <f t="shared" si="92"/>
        <v>23</v>
      </c>
    </row>
    <row r="244" spans="1:7" x14ac:dyDescent="0.25">
      <c r="A244" s="1">
        <f t="shared" si="87"/>
        <v>231</v>
      </c>
      <c r="B244" s="1">
        <f>RTD("rit2.rtd",,$B$7,"LASTHIST",A244)</f>
        <v>1003</v>
      </c>
      <c r="C244" s="1">
        <f t="shared" si="92"/>
        <v>24</v>
      </c>
      <c r="D244" s="1">
        <f t="shared" ref="D244" si="101">IF(B244=0,"",B244)</f>
        <v>1003</v>
      </c>
      <c r="E244" s="1">
        <f t="shared" ref="E244" si="102">IF(B244=0,"",MAX(B244:B253))</f>
        <v>1010</v>
      </c>
      <c r="F244" s="1">
        <f t="shared" ref="F244" si="103">IF(B244=0,"",IF(B253&lt;&gt;0,MIN(B244:B253),IF(B252&lt;&gt;0,MIN(B244:B252),IF(B251&lt;&gt;0,MIN(B244:B251),IF(B250&lt;&gt;0,MIN(B244:B250),IF(B249&lt;&gt;0,MIN(B244:B249),IF(B248&lt;&gt;0,MIN(B244:B248),IF(B247&lt;&gt;0,MIN(B244:B247),IF(B246&lt;&gt;0,MIN(B244:B246),IF(B245&lt;&gt;0,MIN(B244:B245),B244))))))))))</f>
        <v>1002</v>
      </c>
      <c r="G244" s="1">
        <f t="shared" ref="G244" si="104">IF(AND(B253=0,F244=""),"",IF(B253=0,$B$8,B253))</f>
        <v>1010</v>
      </c>
    </row>
    <row r="245" spans="1:7" x14ac:dyDescent="0.25">
      <c r="A245" s="1">
        <f t="shared" si="87"/>
        <v>232</v>
      </c>
      <c r="B245" s="1">
        <f>RTD("rit2.rtd",,$B$7,"LASTHIST",A245)</f>
        <v>1002</v>
      </c>
      <c r="C245" s="1">
        <f t="shared" si="92"/>
        <v>24</v>
      </c>
    </row>
    <row r="246" spans="1:7" x14ac:dyDescent="0.25">
      <c r="A246" s="1">
        <f t="shared" si="87"/>
        <v>233</v>
      </c>
      <c r="B246" s="1">
        <f>RTD("rit2.rtd",,$B$7,"LASTHIST",A246)</f>
        <v>1003</v>
      </c>
      <c r="C246" s="1">
        <f t="shared" si="92"/>
        <v>24</v>
      </c>
    </row>
    <row r="247" spans="1:7" x14ac:dyDescent="0.25">
      <c r="A247" s="1">
        <f t="shared" si="87"/>
        <v>234</v>
      </c>
      <c r="B247" s="1">
        <f>RTD("rit2.rtd",,$B$7,"LASTHIST",A247)</f>
        <v>1003</v>
      </c>
      <c r="C247" s="1">
        <f t="shared" si="92"/>
        <v>24</v>
      </c>
    </row>
    <row r="248" spans="1:7" x14ac:dyDescent="0.25">
      <c r="A248" s="1">
        <f t="shared" si="87"/>
        <v>235</v>
      </c>
      <c r="B248" s="1">
        <f>RTD("rit2.rtd",,$B$7,"LASTHIST",A248)</f>
        <v>1004</v>
      </c>
      <c r="C248" s="1">
        <f t="shared" si="92"/>
        <v>24</v>
      </c>
    </row>
    <row r="249" spans="1:7" x14ac:dyDescent="0.25">
      <c r="A249" s="1">
        <f t="shared" si="87"/>
        <v>236</v>
      </c>
      <c r="B249" s="1">
        <f>RTD("rit2.rtd",,$B$7,"LASTHIST",A249)</f>
        <v>1004</v>
      </c>
      <c r="C249" s="1">
        <f t="shared" si="92"/>
        <v>24</v>
      </c>
    </row>
    <row r="250" spans="1:7" x14ac:dyDescent="0.25">
      <c r="A250" s="1">
        <f t="shared" si="87"/>
        <v>237</v>
      </c>
      <c r="B250" s="1">
        <f>RTD("rit2.rtd",,$B$7,"LASTHIST",A250)</f>
        <v>1006</v>
      </c>
      <c r="C250" s="1">
        <f t="shared" si="92"/>
        <v>24</v>
      </c>
    </row>
    <row r="251" spans="1:7" x14ac:dyDescent="0.25">
      <c r="A251" s="1">
        <f t="shared" si="87"/>
        <v>238</v>
      </c>
      <c r="B251" s="1">
        <f>RTD("rit2.rtd",,$B$7,"LASTHIST",A251)</f>
        <v>1007</v>
      </c>
      <c r="C251" s="1">
        <f t="shared" si="92"/>
        <v>24</v>
      </c>
    </row>
    <row r="252" spans="1:7" x14ac:dyDescent="0.25">
      <c r="A252" s="1">
        <f t="shared" si="87"/>
        <v>239</v>
      </c>
      <c r="B252" s="1">
        <f>RTD("rit2.rtd",,$B$7,"LASTHIST",A252)</f>
        <v>1008</v>
      </c>
      <c r="C252" s="1">
        <f t="shared" si="92"/>
        <v>24</v>
      </c>
    </row>
    <row r="253" spans="1:7" x14ac:dyDescent="0.25">
      <c r="A253" s="1">
        <f t="shared" si="87"/>
        <v>240</v>
      </c>
      <c r="B253" s="1">
        <f>RTD("rit2.rtd",,$B$7,"LASTHIST",A253)</f>
        <v>1010</v>
      </c>
      <c r="C253" s="1">
        <f t="shared" si="92"/>
        <v>24</v>
      </c>
    </row>
    <row r="254" spans="1:7" x14ac:dyDescent="0.25">
      <c r="A254" s="1">
        <f t="shared" si="87"/>
        <v>241</v>
      </c>
      <c r="B254" s="1">
        <f>RTD("rit2.rtd",,$B$7,"LASTHIST",A254)</f>
        <v>1009</v>
      </c>
      <c r="C254" s="1">
        <f t="shared" si="92"/>
        <v>25</v>
      </c>
      <c r="D254" s="1">
        <f t="shared" ref="D254" si="105">IF(B254=0,"",B254)</f>
        <v>1009</v>
      </c>
      <c r="E254" s="1">
        <f t="shared" ref="E254" si="106">IF(B254=0,"",MAX(B254:B263))</f>
        <v>1009</v>
      </c>
      <c r="F254" s="1">
        <f t="shared" ref="F254" si="107">IF(B254=0,"",IF(B263&lt;&gt;0,MIN(B254:B263),IF(B262&lt;&gt;0,MIN(B254:B262),IF(B261&lt;&gt;0,MIN(B254:B261),IF(B260&lt;&gt;0,MIN(B254:B260),IF(B259&lt;&gt;0,MIN(B254:B259),IF(B258&lt;&gt;0,MIN(B254:B258),IF(B257&lt;&gt;0,MIN(B254:B257),IF(B256&lt;&gt;0,MIN(B254:B256),IF(B255&lt;&gt;0,MIN(B254:B255),B254))))))))))</f>
        <v>1008</v>
      </c>
      <c r="G254" s="1">
        <f t="shared" ref="G254" si="108">IF(AND(B263=0,F254=""),"",IF(B263=0,$B$8,B263))</f>
        <v>1008</v>
      </c>
    </row>
    <row r="255" spans="1:7" x14ac:dyDescent="0.25">
      <c r="A255" s="1">
        <f t="shared" si="87"/>
        <v>242</v>
      </c>
      <c r="B255" s="1">
        <f>RTD("rit2.rtd",,$B$7,"LASTHIST",A255)</f>
        <v>1008</v>
      </c>
      <c r="C255" s="1">
        <f t="shared" si="92"/>
        <v>25</v>
      </c>
    </row>
    <row r="256" spans="1:7" x14ac:dyDescent="0.25">
      <c r="A256" s="1">
        <f t="shared" si="87"/>
        <v>243</v>
      </c>
      <c r="B256" s="1">
        <f>RTD("rit2.rtd",,$B$7,"LASTHIST",A256)</f>
        <v>1008</v>
      </c>
      <c r="C256" s="1">
        <f t="shared" si="92"/>
        <v>25</v>
      </c>
    </row>
    <row r="257" spans="1:7" x14ac:dyDescent="0.25">
      <c r="A257" s="1">
        <f t="shared" si="87"/>
        <v>244</v>
      </c>
      <c r="B257" s="1">
        <f>RTD("rit2.rtd",,$B$7,"LASTHIST",A257)</f>
        <v>1008</v>
      </c>
      <c r="C257" s="1">
        <f t="shared" si="92"/>
        <v>25</v>
      </c>
    </row>
    <row r="258" spans="1:7" x14ac:dyDescent="0.25">
      <c r="A258" s="1">
        <f t="shared" si="87"/>
        <v>245</v>
      </c>
      <c r="B258" s="1">
        <f>RTD("rit2.rtd",,$B$7,"LASTHIST",A258)</f>
        <v>1008</v>
      </c>
      <c r="C258" s="1">
        <f t="shared" si="92"/>
        <v>25</v>
      </c>
    </row>
    <row r="259" spans="1:7" x14ac:dyDescent="0.25">
      <c r="A259" s="1">
        <f t="shared" si="87"/>
        <v>246</v>
      </c>
      <c r="B259" s="1">
        <f>RTD("rit2.rtd",,$B$7,"LASTHIST",A259)</f>
        <v>1008</v>
      </c>
      <c r="C259" s="1">
        <f t="shared" si="92"/>
        <v>25</v>
      </c>
    </row>
    <row r="260" spans="1:7" x14ac:dyDescent="0.25">
      <c r="A260" s="1">
        <f t="shared" si="87"/>
        <v>247</v>
      </c>
      <c r="B260" s="1">
        <f>RTD("rit2.rtd",,$B$7,"LASTHIST",A260)</f>
        <v>1008</v>
      </c>
      <c r="C260" s="1">
        <f t="shared" si="92"/>
        <v>25</v>
      </c>
    </row>
    <row r="261" spans="1:7" x14ac:dyDescent="0.25">
      <c r="A261" s="1">
        <f t="shared" si="87"/>
        <v>248</v>
      </c>
      <c r="B261" s="1">
        <f>RTD("rit2.rtd",,$B$7,"LASTHIST",A261)</f>
        <v>1008</v>
      </c>
      <c r="C261" s="1">
        <f t="shared" si="92"/>
        <v>25</v>
      </c>
    </row>
    <row r="262" spans="1:7" x14ac:dyDescent="0.25">
      <c r="A262" s="1">
        <f t="shared" si="87"/>
        <v>249</v>
      </c>
      <c r="B262" s="1">
        <f>RTD("rit2.rtd",,$B$7,"LASTHIST",A262)</f>
        <v>1008</v>
      </c>
      <c r="C262" s="1">
        <f t="shared" si="92"/>
        <v>25</v>
      </c>
    </row>
    <row r="263" spans="1:7" x14ac:dyDescent="0.25">
      <c r="A263" s="1">
        <f t="shared" si="87"/>
        <v>250</v>
      </c>
      <c r="B263" s="1">
        <f>RTD("rit2.rtd",,$B$7,"LASTHIST",A263)</f>
        <v>1008</v>
      </c>
      <c r="C263" s="1">
        <f t="shared" si="92"/>
        <v>25</v>
      </c>
    </row>
    <row r="264" spans="1:7" x14ac:dyDescent="0.25">
      <c r="A264" s="1">
        <f t="shared" si="87"/>
        <v>251</v>
      </c>
      <c r="B264" s="1">
        <f>RTD("rit2.rtd",,$B$7,"LASTHIST",A264)</f>
        <v>1008</v>
      </c>
      <c r="C264" s="1">
        <f t="shared" si="92"/>
        <v>26</v>
      </c>
      <c r="D264" s="1">
        <f t="shared" ref="D264" si="109">IF(B264=0,"",B264)</f>
        <v>1008</v>
      </c>
      <c r="E264" s="1">
        <f t="shared" ref="E264" si="110">IF(B264=0,"",MAX(B264:B273))</f>
        <v>1009</v>
      </c>
      <c r="F264" s="1">
        <f t="shared" ref="F264" si="111">IF(B264=0,"",IF(B273&lt;&gt;0,MIN(B264:B273),IF(B272&lt;&gt;0,MIN(B264:B272),IF(B271&lt;&gt;0,MIN(B264:B271),IF(B270&lt;&gt;0,MIN(B264:B270),IF(B269&lt;&gt;0,MIN(B264:B269),IF(B268&lt;&gt;0,MIN(B264:B268),IF(B267&lt;&gt;0,MIN(B264:B267),IF(B266&lt;&gt;0,MIN(B264:B266),IF(B265&lt;&gt;0,MIN(B264:B265),B264))))))))))</f>
        <v>1008</v>
      </c>
      <c r="G264" s="1">
        <f t="shared" ref="G264" si="112">IF(AND(B273=0,F264=""),"",IF(B273=0,$B$8,B273))</f>
        <v>1008</v>
      </c>
    </row>
    <row r="265" spans="1:7" x14ac:dyDescent="0.25">
      <c r="A265" s="1">
        <f t="shared" si="87"/>
        <v>252</v>
      </c>
      <c r="B265" s="1">
        <f>RTD("rit2.rtd",,$B$7,"LASTHIST",A265)</f>
        <v>1008</v>
      </c>
      <c r="C265" s="1">
        <f t="shared" si="92"/>
        <v>26</v>
      </c>
    </row>
    <row r="266" spans="1:7" x14ac:dyDescent="0.25">
      <c r="A266" s="1">
        <f t="shared" si="87"/>
        <v>253</v>
      </c>
      <c r="B266" s="1">
        <f>RTD("rit2.rtd",,$B$7,"LASTHIST",A266)</f>
        <v>1008</v>
      </c>
      <c r="C266" s="1">
        <f t="shared" si="92"/>
        <v>26</v>
      </c>
    </row>
    <row r="267" spans="1:7" x14ac:dyDescent="0.25">
      <c r="A267" s="1">
        <f t="shared" si="87"/>
        <v>254</v>
      </c>
      <c r="B267" s="1">
        <f>RTD("rit2.rtd",,$B$7,"LASTHIST",A267)</f>
        <v>1008</v>
      </c>
      <c r="C267" s="1">
        <f t="shared" si="92"/>
        <v>26</v>
      </c>
    </row>
    <row r="268" spans="1:7" x14ac:dyDescent="0.25">
      <c r="A268" s="1">
        <f t="shared" si="87"/>
        <v>255</v>
      </c>
      <c r="B268" s="1">
        <f>RTD("rit2.rtd",,$B$7,"LASTHIST",A268)</f>
        <v>1009</v>
      </c>
      <c r="C268" s="1">
        <f t="shared" si="92"/>
        <v>26</v>
      </c>
    </row>
    <row r="269" spans="1:7" x14ac:dyDescent="0.25">
      <c r="A269" s="1">
        <f t="shared" si="87"/>
        <v>256</v>
      </c>
      <c r="B269" s="1">
        <f>RTD("rit2.rtd",,$B$7,"LASTHIST",A269)</f>
        <v>1008</v>
      </c>
      <c r="C269" s="1">
        <f t="shared" si="92"/>
        <v>26</v>
      </c>
    </row>
    <row r="270" spans="1:7" x14ac:dyDescent="0.25">
      <c r="A270" s="1">
        <f t="shared" si="87"/>
        <v>257</v>
      </c>
      <c r="B270" s="1">
        <f>RTD("rit2.rtd",,$B$7,"LASTHIST",A270)</f>
        <v>1008</v>
      </c>
      <c r="C270" s="1">
        <f t="shared" si="92"/>
        <v>26</v>
      </c>
    </row>
    <row r="271" spans="1:7" x14ac:dyDescent="0.25">
      <c r="A271" s="1">
        <f t="shared" si="87"/>
        <v>258</v>
      </c>
      <c r="B271" s="1">
        <f>RTD("rit2.rtd",,$B$7,"LASTHIST",A271)</f>
        <v>1008</v>
      </c>
      <c r="C271" s="1">
        <f t="shared" si="92"/>
        <v>26</v>
      </c>
    </row>
    <row r="272" spans="1:7" x14ac:dyDescent="0.25">
      <c r="A272" s="1">
        <f t="shared" ref="A272:A335" si="113">A271+1</f>
        <v>259</v>
      </c>
      <c r="B272" s="1">
        <f>RTD("rit2.rtd",,$B$7,"LASTHIST",A272)</f>
        <v>1008</v>
      </c>
      <c r="C272" s="1">
        <f t="shared" si="92"/>
        <v>26</v>
      </c>
    </row>
    <row r="273" spans="1:7" x14ac:dyDescent="0.25">
      <c r="A273" s="1">
        <f t="shared" si="113"/>
        <v>260</v>
      </c>
      <c r="B273" s="1">
        <f>RTD("rit2.rtd",,$B$7,"LASTHIST",A273)</f>
        <v>1008</v>
      </c>
      <c r="C273" s="1">
        <f t="shared" si="92"/>
        <v>26</v>
      </c>
    </row>
    <row r="274" spans="1:7" x14ac:dyDescent="0.25">
      <c r="A274" s="1">
        <f t="shared" si="113"/>
        <v>261</v>
      </c>
      <c r="B274" s="1">
        <f>RTD("rit2.rtd",,$B$7,"LASTHIST",A274)</f>
        <v>1008</v>
      </c>
      <c r="C274" s="1">
        <f t="shared" si="92"/>
        <v>27</v>
      </c>
      <c r="D274" s="1">
        <f t="shared" ref="D274" si="114">IF(B274=0,"",B274)</f>
        <v>1008</v>
      </c>
      <c r="E274" s="1">
        <f t="shared" ref="E274" si="115">IF(B274=0,"",MAX(B274:B283))</f>
        <v>1009</v>
      </c>
      <c r="F274" s="1">
        <f t="shared" ref="F274" si="116">IF(B274=0,"",IF(B283&lt;&gt;0,MIN(B274:B283),IF(B282&lt;&gt;0,MIN(B274:B282),IF(B281&lt;&gt;0,MIN(B274:B281),IF(B280&lt;&gt;0,MIN(B274:B280),IF(B279&lt;&gt;0,MIN(B274:B279),IF(B278&lt;&gt;0,MIN(B274:B278),IF(B277&lt;&gt;0,MIN(B274:B277),IF(B276&lt;&gt;0,MIN(B274:B276),IF(B275&lt;&gt;0,MIN(B274:B275),B274))))))))))</f>
        <v>1008</v>
      </c>
      <c r="G274" s="1">
        <f t="shared" ref="G274" si="117">IF(AND(B283=0,F274=""),"",IF(B283=0,$B$8,B283))</f>
        <v>1008</v>
      </c>
    </row>
    <row r="275" spans="1:7" x14ac:dyDescent="0.25">
      <c r="A275" s="1">
        <f t="shared" si="113"/>
        <v>262</v>
      </c>
      <c r="B275" s="1">
        <f>RTD("rit2.rtd",,$B$7,"LASTHIST",A275)</f>
        <v>1008</v>
      </c>
      <c r="C275" s="1">
        <f t="shared" si="92"/>
        <v>27</v>
      </c>
    </row>
    <row r="276" spans="1:7" x14ac:dyDescent="0.25">
      <c r="A276" s="1">
        <f t="shared" si="113"/>
        <v>263</v>
      </c>
      <c r="B276" s="1">
        <f>RTD("rit2.rtd",,$B$7,"LASTHIST",A276)</f>
        <v>1008</v>
      </c>
      <c r="C276" s="1">
        <f t="shared" si="92"/>
        <v>27</v>
      </c>
    </row>
    <row r="277" spans="1:7" x14ac:dyDescent="0.25">
      <c r="A277" s="1">
        <f t="shared" si="113"/>
        <v>264</v>
      </c>
      <c r="B277" s="1">
        <f>RTD("rit2.rtd",,$B$7,"LASTHIST",A277)</f>
        <v>1009</v>
      </c>
      <c r="C277" s="1">
        <f t="shared" si="92"/>
        <v>27</v>
      </c>
    </row>
    <row r="278" spans="1:7" x14ac:dyDescent="0.25">
      <c r="A278" s="1">
        <f t="shared" si="113"/>
        <v>265</v>
      </c>
      <c r="B278" s="1">
        <f>RTD("rit2.rtd",,$B$7,"LASTHIST",A278)</f>
        <v>1009</v>
      </c>
      <c r="C278" s="1">
        <f t="shared" si="92"/>
        <v>27</v>
      </c>
    </row>
    <row r="279" spans="1:7" x14ac:dyDescent="0.25">
      <c r="A279" s="1">
        <f t="shared" si="113"/>
        <v>266</v>
      </c>
      <c r="B279" s="1">
        <f>RTD("rit2.rtd",,$B$7,"LASTHIST",A279)</f>
        <v>1009</v>
      </c>
      <c r="C279" s="1">
        <f t="shared" si="92"/>
        <v>27</v>
      </c>
    </row>
    <row r="280" spans="1:7" x14ac:dyDescent="0.25">
      <c r="A280" s="1">
        <f t="shared" si="113"/>
        <v>267</v>
      </c>
      <c r="B280" s="1">
        <f>RTD("rit2.rtd",,$B$7,"LASTHIST",A280)</f>
        <v>1008</v>
      </c>
      <c r="C280" s="1">
        <f t="shared" si="92"/>
        <v>27</v>
      </c>
    </row>
    <row r="281" spans="1:7" x14ac:dyDescent="0.25">
      <c r="A281" s="1">
        <f t="shared" si="113"/>
        <v>268</v>
      </c>
      <c r="B281" s="1">
        <f>RTD("rit2.rtd",,$B$7,"LASTHIST",A281)</f>
        <v>1008</v>
      </c>
      <c r="C281" s="1">
        <f t="shared" ref="C281:C344" si="118">C271+1</f>
        <v>27</v>
      </c>
    </row>
    <row r="282" spans="1:7" x14ac:dyDescent="0.25">
      <c r="A282" s="1">
        <f t="shared" si="113"/>
        <v>269</v>
      </c>
      <c r="B282" s="1">
        <f>RTD("rit2.rtd",,$B$7,"LASTHIST",A282)</f>
        <v>1008</v>
      </c>
      <c r="C282" s="1">
        <f t="shared" si="118"/>
        <v>27</v>
      </c>
    </row>
    <row r="283" spans="1:7" x14ac:dyDescent="0.25">
      <c r="A283" s="1">
        <f t="shared" si="113"/>
        <v>270</v>
      </c>
      <c r="B283" s="1">
        <f>RTD("rit2.rtd",,$B$7,"LASTHIST",A283)</f>
        <v>1008</v>
      </c>
      <c r="C283" s="1">
        <f t="shared" si="118"/>
        <v>27</v>
      </c>
    </row>
    <row r="284" spans="1:7" x14ac:dyDescent="0.25">
      <c r="A284" s="1">
        <f t="shared" si="113"/>
        <v>271</v>
      </c>
      <c r="B284" s="1">
        <f>RTD("rit2.rtd",,$B$7,"LASTHIST",A284)</f>
        <v>1008</v>
      </c>
      <c r="C284" s="1">
        <f t="shared" si="118"/>
        <v>28</v>
      </c>
      <c r="D284" s="1">
        <f t="shared" ref="D284" si="119">IF(B284=0,"",B284)</f>
        <v>1008</v>
      </c>
      <c r="E284" s="1">
        <f t="shared" ref="E284" si="120">IF(B284=0,"",MAX(B284:B293))</f>
        <v>1010</v>
      </c>
      <c r="F284" s="1">
        <f t="shared" ref="F284" si="121">IF(B284=0,"",IF(B293&lt;&gt;0,MIN(B284:B293),IF(B292&lt;&gt;0,MIN(B284:B292),IF(B291&lt;&gt;0,MIN(B284:B291),IF(B290&lt;&gt;0,MIN(B284:B290),IF(B289&lt;&gt;0,MIN(B284:B289),IF(B288&lt;&gt;0,MIN(B284:B288),IF(B287&lt;&gt;0,MIN(B284:B287),IF(B286&lt;&gt;0,MIN(B284:B286),IF(B285&lt;&gt;0,MIN(B284:B285),B284))))))))))</f>
        <v>1008</v>
      </c>
      <c r="G284" s="1">
        <f t="shared" ref="G284" si="122">IF(AND(B293=0,F284=""),"",IF(B293=0,$B$8,B293))</f>
        <v>1010</v>
      </c>
    </row>
    <row r="285" spans="1:7" x14ac:dyDescent="0.25">
      <c r="A285" s="1">
        <f t="shared" si="113"/>
        <v>272</v>
      </c>
      <c r="B285" s="1">
        <f>RTD("rit2.rtd",,$B$7,"LASTHIST",A285)</f>
        <v>1008</v>
      </c>
      <c r="C285" s="1">
        <f t="shared" si="118"/>
        <v>28</v>
      </c>
    </row>
    <row r="286" spans="1:7" x14ac:dyDescent="0.25">
      <c r="A286" s="1">
        <f t="shared" si="113"/>
        <v>273</v>
      </c>
      <c r="B286" s="1">
        <f>RTD("rit2.rtd",,$B$7,"LASTHIST",A286)</f>
        <v>1009</v>
      </c>
      <c r="C286" s="1">
        <f t="shared" si="118"/>
        <v>28</v>
      </c>
    </row>
    <row r="287" spans="1:7" x14ac:dyDescent="0.25">
      <c r="A287" s="1">
        <f t="shared" si="113"/>
        <v>274</v>
      </c>
      <c r="B287" s="1">
        <f>RTD("rit2.rtd",,$B$7,"LASTHIST",A287)</f>
        <v>1009</v>
      </c>
      <c r="C287" s="1">
        <f t="shared" si="118"/>
        <v>28</v>
      </c>
    </row>
    <row r="288" spans="1:7" x14ac:dyDescent="0.25">
      <c r="A288" s="1">
        <f t="shared" si="113"/>
        <v>275</v>
      </c>
      <c r="B288" s="1">
        <f>RTD("rit2.rtd",,$B$7,"LASTHIST",A288)</f>
        <v>1009</v>
      </c>
      <c r="C288" s="1">
        <f t="shared" si="118"/>
        <v>28</v>
      </c>
    </row>
    <row r="289" spans="1:7" x14ac:dyDescent="0.25">
      <c r="A289" s="1">
        <f t="shared" si="113"/>
        <v>276</v>
      </c>
      <c r="B289" s="1">
        <f>RTD("rit2.rtd",,$B$7,"LASTHIST",A289)</f>
        <v>1008</v>
      </c>
      <c r="C289" s="1">
        <f t="shared" si="118"/>
        <v>28</v>
      </c>
    </row>
    <row r="290" spans="1:7" x14ac:dyDescent="0.25">
      <c r="A290" s="1">
        <f t="shared" si="113"/>
        <v>277</v>
      </c>
      <c r="B290" s="1">
        <f>RTD("rit2.rtd",,$B$7,"LASTHIST",A290)</f>
        <v>1009</v>
      </c>
      <c r="C290" s="1">
        <f t="shared" si="118"/>
        <v>28</v>
      </c>
    </row>
    <row r="291" spans="1:7" x14ac:dyDescent="0.25">
      <c r="A291" s="1">
        <f t="shared" si="113"/>
        <v>278</v>
      </c>
      <c r="B291" s="1">
        <f>RTD("rit2.rtd",,$B$7,"LASTHIST",A291)</f>
        <v>1009</v>
      </c>
      <c r="C291" s="1">
        <f t="shared" si="118"/>
        <v>28</v>
      </c>
    </row>
    <row r="292" spans="1:7" x14ac:dyDescent="0.25">
      <c r="A292" s="1">
        <f t="shared" si="113"/>
        <v>279</v>
      </c>
      <c r="B292" s="1">
        <f>RTD("rit2.rtd",,$B$7,"LASTHIST",A292)</f>
        <v>1009</v>
      </c>
      <c r="C292" s="1">
        <f t="shared" si="118"/>
        <v>28</v>
      </c>
    </row>
    <row r="293" spans="1:7" x14ac:dyDescent="0.25">
      <c r="A293" s="1">
        <f t="shared" si="113"/>
        <v>280</v>
      </c>
      <c r="B293" s="1">
        <f>RTD("rit2.rtd",,$B$7,"LASTHIST",A293)</f>
        <v>1010</v>
      </c>
      <c r="C293" s="1">
        <f t="shared" si="118"/>
        <v>28</v>
      </c>
    </row>
    <row r="294" spans="1:7" x14ac:dyDescent="0.25">
      <c r="A294" s="1">
        <f t="shared" si="113"/>
        <v>281</v>
      </c>
      <c r="B294" s="1">
        <f>RTD("rit2.rtd",,$B$7,"LASTHIST",A294)</f>
        <v>1010</v>
      </c>
      <c r="C294" s="1">
        <f t="shared" si="118"/>
        <v>29</v>
      </c>
      <c r="D294" s="1">
        <f t="shared" ref="D294" si="123">IF(B294=0,"",B294)</f>
        <v>1010</v>
      </c>
      <c r="E294" s="1">
        <f t="shared" ref="E294" si="124">IF(B294=0,"",MAX(B294:B303))</f>
        <v>1010</v>
      </c>
      <c r="F294" s="1">
        <f t="shared" ref="F294" si="125">IF(B294=0,"",IF(B303&lt;&gt;0,MIN(B294:B303),IF(B302&lt;&gt;0,MIN(B294:B302),IF(B301&lt;&gt;0,MIN(B294:B301),IF(B300&lt;&gt;0,MIN(B294:B300),IF(B299&lt;&gt;0,MIN(B294:B299),IF(B298&lt;&gt;0,MIN(B294:B298),IF(B297&lt;&gt;0,MIN(B294:B297),IF(B296&lt;&gt;0,MIN(B294:B296),IF(B295&lt;&gt;0,MIN(B294:B295),B294))))))))))</f>
        <v>1009</v>
      </c>
      <c r="G294" s="1">
        <f t="shared" ref="G294" si="126">IF(AND(B303=0,F294=""),"",IF(B303=0,$B$8,B303))</f>
        <v>1009</v>
      </c>
    </row>
    <row r="295" spans="1:7" x14ac:dyDescent="0.25">
      <c r="A295" s="1">
        <f t="shared" si="113"/>
        <v>282</v>
      </c>
      <c r="B295" s="1">
        <f>RTD("rit2.rtd",,$B$7,"LASTHIST",A295)</f>
        <v>1009</v>
      </c>
      <c r="C295" s="1">
        <f t="shared" si="118"/>
        <v>29</v>
      </c>
    </row>
    <row r="296" spans="1:7" x14ac:dyDescent="0.25">
      <c r="A296" s="1">
        <f t="shared" si="113"/>
        <v>283</v>
      </c>
      <c r="B296" s="1">
        <f>RTD("rit2.rtd",,$B$7,"LASTHIST",A296)</f>
        <v>1009</v>
      </c>
      <c r="C296" s="1">
        <f t="shared" si="118"/>
        <v>29</v>
      </c>
    </row>
    <row r="297" spans="1:7" x14ac:dyDescent="0.25">
      <c r="A297" s="1">
        <f t="shared" si="113"/>
        <v>284</v>
      </c>
      <c r="B297" s="1">
        <f>RTD("rit2.rtd",,$B$7,"LASTHIST",A297)</f>
        <v>1009</v>
      </c>
      <c r="C297" s="1">
        <f t="shared" si="118"/>
        <v>29</v>
      </c>
    </row>
    <row r="298" spans="1:7" x14ac:dyDescent="0.25">
      <c r="A298" s="1">
        <f t="shared" si="113"/>
        <v>285</v>
      </c>
      <c r="B298" s="1">
        <f>RTD("rit2.rtd",,$B$7,"LASTHIST",A298)</f>
        <v>1009</v>
      </c>
      <c r="C298" s="1">
        <f t="shared" si="118"/>
        <v>29</v>
      </c>
    </row>
    <row r="299" spans="1:7" x14ac:dyDescent="0.25">
      <c r="A299" s="1">
        <f t="shared" si="113"/>
        <v>286</v>
      </c>
      <c r="B299" s="1">
        <f>RTD("rit2.rtd",,$B$7,"LASTHIST",A299)</f>
        <v>1010</v>
      </c>
      <c r="C299" s="1">
        <f t="shared" si="118"/>
        <v>29</v>
      </c>
    </row>
    <row r="300" spans="1:7" x14ac:dyDescent="0.25">
      <c r="A300" s="1">
        <f t="shared" si="113"/>
        <v>287</v>
      </c>
      <c r="B300" s="1">
        <f>RTD("rit2.rtd",,$B$7,"LASTHIST",A300)</f>
        <v>1010</v>
      </c>
      <c r="C300" s="1">
        <f t="shared" si="118"/>
        <v>29</v>
      </c>
    </row>
    <row r="301" spans="1:7" x14ac:dyDescent="0.25">
      <c r="A301" s="1">
        <f t="shared" si="113"/>
        <v>288</v>
      </c>
      <c r="B301" s="1">
        <f>RTD("rit2.rtd",,$B$7,"LASTHIST",A301)</f>
        <v>1010</v>
      </c>
      <c r="C301" s="1">
        <f t="shared" si="118"/>
        <v>29</v>
      </c>
    </row>
    <row r="302" spans="1:7" x14ac:dyDescent="0.25">
      <c r="A302" s="1">
        <f t="shared" si="113"/>
        <v>289</v>
      </c>
      <c r="B302" s="1">
        <f>RTD("rit2.rtd",,$B$7,"LASTHIST",A302)</f>
        <v>1009</v>
      </c>
      <c r="C302" s="1">
        <f t="shared" si="118"/>
        <v>29</v>
      </c>
    </row>
    <row r="303" spans="1:7" x14ac:dyDescent="0.25">
      <c r="A303" s="1">
        <f t="shared" si="113"/>
        <v>290</v>
      </c>
      <c r="B303" s="1">
        <f>RTD("rit2.rtd",,$B$7,"LASTHIST",A303)</f>
        <v>1009</v>
      </c>
      <c r="C303" s="1">
        <f t="shared" si="118"/>
        <v>29</v>
      </c>
    </row>
    <row r="304" spans="1:7" x14ac:dyDescent="0.25">
      <c r="A304" s="1">
        <f t="shared" si="113"/>
        <v>291</v>
      </c>
      <c r="B304" s="1">
        <f>RTD("rit2.rtd",,$B$7,"LASTHIST",A304)</f>
        <v>1009</v>
      </c>
      <c r="C304" s="1">
        <f t="shared" si="118"/>
        <v>30</v>
      </c>
      <c r="D304" s="1">
        <f t="shared" ref="D304" si="127">IF(B304=0,"",B304)</f>
        <v>1009</v>
      </c>
      <c r="E304" s="1">
        <f t="shared" ref="E304" si="128">IF(B304=0,"",MAX(B304:B313))</f>
        <v>1010</v>
      </c>
      <c r="F304" s="1">
        <f t="shared" ref="F304" si="129">IF(B304=0,"",IF(B313&lt;&gt;0,MIN(B304:B313),IF(B312&lt;&gt;0,MIN(B304:B312),IF(B311&lt;&gt;0,MIN(B304:B311),IF(B310&lt;&gt;0,MIN(B304:B310),IF(B309&lt;&gt;0,MIN(B304:B309),IF(B308&lt;&gt;0,MIN(B304:B308),IF(B307&lt;&gt;0,MIN(B304:B307),IF(B306&lt;&gt;0,MIN(B304:B306),IF(B305&lt;&gt;0,MIN(B304:B305),B304))))))))))</f>
        <v>1007</v>
      </c>
      <c r="G304" s="1">
        <f t="shared" ref="G304" si="130">IF(AND(B313=0,F304=""),"",IF(B313=0,$B$8,B313))</f>
        <v>1007</v>
      </c>
    </row>
    <row r="305" spans="1:7" x14ac:dyDescent="0.25">
      <c r="A305" s="1">
        <f t="shared" si="113"/>
        <v>292</v>
      </c>
      <c r="B305" s="1">
        <f>RTD("rit2.rtd",,$B$7,"LASTHIST",A305)</f>
        <v>1009</v>
      </c>
      <c r="C305" s="1">
        <f t="shared" si="118"/>
        <v>30</v>
      </c>
    </row>
    <row r="306" spans="1:7" x14ac:dyDescent="0.25">
      <c r="A306" s="1">
        <f t="shared" si="113"/>
        <v>293</v>
      </c>
      <c r="B306" s="1">
        <f>RTD("rit2.rtd",,$B$7,"LASTHIST",A306)</f>
        <v>1009</v>
      </c>
      <c r="C306" s="1">
        <f t="shared" si="118"/>
        <v>30</v>
      </c>
    </row>
    <row r="307" spans="1:7" x14ac:dyDescent="0.25">
      <c r="A307" s="1">
        <f t="shared" si="113"/>
        <v>294</v>
      </c>
      <c r="B307" s="1">
        <f>RTD("rit2.rtd",,$B$7,"LASTHIST",A307)</f>
        <v>1009</v>
      </c>
      <c r="C307" s="1">
        <f t="shared" si="118"/>
        <v>30</v>
      </c>
    </row>
    <row r="308" spans="1:7" x14ac:dyDescent="0.25">
      <c r="A308" s="1">
        <f t="shared" si="113"/>
        <v>295</v>
      </c>
      <c r="B308" s="1">
        <f>RTD("rit2.rtd",,$B$7,"LASTHIST",A308)</f>
        <v>1010</v>
      </c>
      <c r="C308" s="1">
        <f t="shared" si="118"/>
        <v>30</v>
      </c>
    </row>
    <row r="309" spans="1:7" x14ac:dyDescent="0.25">
      <c r="A309" s="1">
        <f t="shared" si="113"/>
        <v>296</v>
      </c>
      <c r="B309" s="1">
        <f>RTD("rit2.rtd",,$B$7,"LASTHIST",A309)</f>
        <v>1010</v>
      </c>
      <c r="C309" s="1">
        <f t="shared" si="118"/>
        <v>30</v>
      </c>
    </row>
    <row r="310" spans="1:7" x14ac:dyDescent="0.25">
      <c r="A310" s="1">
        <f t="shared" si="113"/>
        <v>297</v>
      </c>
      <c r="B310" s="1">
        <f>RTD("rit2.rtd",,$B$7,"LASTHIST",A310)</f>
        <v>1009</v>
      </c>
      <c r="C310" s="1">
        <f t="shared" si="118"/>
        <v>30</v>
      </c>
    </row>
    <row r="311" spans="1:7" x14ac:dyDescent="0.25">
      <c r="A311" s="1">
        <f t="shared" si="113"/>
        <v>298</v>
      </c>
      <c r="B311" s="1">
        <f>RTD("rit2.rtd",,$B$7,"LASTHIST",A311)</f>
        <v>1008</v>
      </c>
      <c r="C311" s="1">
        <f t="shared" si="118"/>
        <v>30</v>
      </c>
    </row>
    <row r="312" spans="1:7" x14ac:dyDescent="0.25">
      <c r="A312" s="1">
        <f t="shared" si="113"/>
        <v>299</v>
      </c>
      <c r="B312" s="1">
        <f>RTD("rit2.rtd",,$B$7,"LASTHIST",A312)</f>
        <v>1007</v>
      </c>
      <c r="C312" s="1">
        <f t="shared" si="118"/>
        <v>30</v>
      </c>
    </row>
    <row r="313" spans="1:7" x14ac:dyDescent="0.25">
      <c r="A313" s="1">
        <f t="shared" si="113"/>
        <v>300</v>
      </c>
      <c r="B313" s="1">
        <f>RTD("rit2.rtd",,$B$7,"LASTHIST",A313)</f>
        <v>1007</v>
      </c>
      <c r="C313" s="1">
        <f t="shared" si="118"/>
        <v>30</v>
      </c>
    </row>
    <row r="314" spans="1:7" x14ac:dyDescent="0.25">
      <c r="A314" s="1">
        <f t="shared" si="113"/>
        <v>301</v>
      </c>
      <c r="B314" s="1">
        <f>RTD("rit2.rtd",,$B$7,"LASTHIST",A314)</f>
        <v>1008</v>
      </c>
      <c r="C314" s="1">
        <f t="shared" si="118"/>
        <v>31</v>
      </c>
      <c r="D314" s="1">
        <f t="shared" ref="D314" si="131">IF(B314=0,"",B314)</f>
        <v>1008</v>
      </c>
      <c r="E314" s="1">
        <f t="shared" ref="E314" si="132">IF(B314=0,"",MAX(B314:B323))</f>
        <v>1009</v>
      </c>
      <c r="F314" s="1">
        <f t="shared" ref="F314" si="133">IF(B314=0,"",IF(B323&lt;&gt;0,MIN(B314:B323),IF(B322&lt;&gt;0,MIN(B314:B322),IF(B321&lt;&gt;0,MIN(B314:B321),IF(B320&lt;&gt;0,MIN(B314:B320),IF(B319&lt;&gt;0,MIN(B314:B319),IF(B318&lt;&gt;0,MIN(B314:B318),IF(B317&lt;&gt;0,MIN(B314:B317),IF(B316&lt;&gt;0,MIN(B314:B316),IF(B315&lt;&gt;0,MIN(B314:B315),B314))))))))))</f>
        <v>1008</v>
      </c>
      <c r="G314" s="1">
        <f t="shared" ref="G314" si="134">IF(AND(B323=0,F314=""),"",IF(B323=0,$B$8,B323))</f>
        <v>1008</v>
      </c>
    </row>
    <row r="315" spans="1:7" x14ac:dyDescent="0.25">
      <c r="A315" s="1">
        <f t="shared" si="113"/>
        <v>302</v>
      </c>
      <c r="B315" s="1">
        <f>RTD("rit2.rtd",,$B$7,"LASTHIST",A315)</f>
        <v>1008</v>
      </c>
      <c r="C315" s="1">
        <f t="shared" si="118"/>
        <v>31</v>
      </c>
    </row>
    <row r="316" spans="1:7" x14ac:dyDescent="0.25">
      <c r="A316" s="1">
        <f t="shared" si="113"/>
        <v>303</v>
      </c>
      <c r="B316" s="1">
        <f>RTD("rit2.rtd",,$B$7,"LASTHIST",A316)</f>
        <v>1008</v>
      </c>
      <c r="C316" s="1">
        <f t="shared" si="118"/>
        <v>31</v>
      </c>
    </row>
    <row r="317" spans="1:7" x14ac:dyDescent="0.25">
      <c r="A317" s="1">
        <f t="shared" si="113"/>
        <v>304</v>
      </c>
      <c r="B317" s="1">
        <f>RTD("rit2.rtd",,$B$7,"LASTHIST",A317)</f>
        <v>1008</v>
      </c>
      <c r="C317" s="1">
        <f t="shared" si="118"/>
        <v>31</v>
      </c>
    </row>
    <row r="318" spans="1:7" x14ac:dyDescent="0.25">
      <c r="A318" s="1">
        <f t="shared" si="113"/>
        <v>305</v>
      </c>
      <c r="B318" s="1">
        <f>RTD("rit2.rtd",,$B$7,"LASTHIST",A318)</f>
        <v>1008</v>
      </c>
      <c r="C318" s="1">
        <f t="shared" si="118"/>
        <v>31</v>
      </c>
    </row>
    <row r="319" spans="1:7" x14ac:dyDescent="0.25">
      <c r="A319" s="1">
        <f t="shared" si="113"/>
        <v>306</v>
      </c>
      <c r="B319" s="1">
        <f>RTD("rit2.rtd",,$B$7,"LASTHIST",A319)</f>
        <v>1009</v>
      </c>
      <c r="C319" s="1">
        <f t="shared" si="118"/>
        <v>31</v>
      </c>
    </row>
    <row r="320" spans="1:7" x14ac:dyDescent="0.25">
      <c r="A320" s="1">
        <f t="shared" si="113"/>
        <v>307</v>
      </c>
      <c r="B320" s="1">
        <f>RTD("rit2.rtd",,$B$7,"LASTHIST",A320)</f>
        <v>1008</v>
      </c>
      <c r="C320" s="1">
        <f t="shared" si="118"/>
        <v>31</v>
      </c>
    </row>
    <row r="321" spans="1:7" x14ac:dyDescent="0.25">
      <c r="A321" s="1">
        <f t="shared" si="113"/>
        <v>308</v>
      </c>
      <c r="B321" s="1">
        <f>RTD("rit2.rtd",,$B$7,"LASTHIST",A321)</f>
        <v>1008</v>
      </c>
      <c r="C321" s="1">
        <f t="shared" si="118"/>
        <v>31</v>
      </c>
    </row>
    <row r="322" spans="1:7" x14ac:dyDescent="0.25">
      <c r="A322" s="1">
        <f t="shared" si="113"/>
        <v>309</v>
      </c>
      <c r="B322" s="1">
        <f>RTD("rit2.rtd",,$B$7,"LASTHIST",A322)</f>
        <v>1008</v>
      </c>
      <c r="C322" s="1">
        <f t="shared" si="118"/>
        <v>31</v>
      </c>
    </row>
    <row r="323" spans="1:7" x14ac:dyDescent="0.25">
      <c r="A323" s="1">
        <f t="shared" si="113"/>
        <v>310</v>
      </c>
      <c r="B323" s="1">
        <f>RTD("rit2.rtd",,$B$7,"LASTHIST",A323)</f>
        <v>1008</v>
      </c>
      <c r="C323" s="1">
        <f t="shared" si="118"/>
        <v>31</v>
      </c>
    </row>
    <row r="324" spans="1:7" x14ac:dyDescent="0.25">
      <c r="A324" s="1">
        <f t="shared" si="113"/>
        <v>311</v>
      </c>
      <c r="B324" s="1">
        <f>RTD("rit2.rtd",,$B$7,"LASTHIST",A324)</f>
        <v>1008</v>
      </c>
      <c r="C324" s="1">
        <f t="shared" si="118"/>
        <v>32</v>
      </c>
      <c r="D324" s="1">
        <f t="shared" ref="D324" si="135">IF(B324=0,"",B324)</f>
        <v>1008</v>
      </c>
      <c r="E324" s="1">
        <f t="shared" ref="E324" si="136">IF(B324=0,"",MAX(B324:B333))</f>
        <v>1008</v>
      </c>
      <c r="F324" s="1">
        <f t="shared" ref="F324" si="137">IF(B324=0,"",IF(B333&lt;&gt;0,MIN(B324:B333),IF(B332&lt;&gt;0,MIN(B324:B332),IF(B331&lt;&gt;0,MIN(B324:B331),IF(B330&lt;&gt;0,MIN(B324:B330),IF(B329&lt;&gt;0,MIN(B324:B329),IF(B328&lt;&gt;0,MIN(B324:B328),IF(B327&lt;&gt;0,MIN(B324:B327),IF(B326&lt;&gt;0,MIN(B324:B326),IF(B325&lt;&gt;0,MIN(B324:B325),B324))))))))))</f>
        <v>1004</v>
      </c>
      <c r="G324" s="1">
        <f t="shared" ref="G324" si="138">IF(AND(B333=0,F324=""),"",IF(B333=0,$B$8,B333))</f>
        <v>1004</v>
      </c>
    </row>
    <row r="325" spans="1:7" x14ac:dyDescent="0.25">
      <c r="A325" s="1">
        <f t="shared" si="113"/>
        <v>312</v>
      </c>
      <c r="B325" s="1">
        <f>RTD("rit2.rtd",,$B$7,"LASTHIST",A325)</f>
        <v>1008</v>
      </c>
      <c r="C325" s="1">
        <f t="shared" si="118"/>
        <v>32</v>
      </c>
    </row>
    <row r="326" spans="1:7" x14ac:dyDescent="0.25">
      <c r="A326" s="1">
        <f t="shared" si="113"/>
        <v>313</v>
      </c>
      <c r="B326" s="1">
        <f>RTD("rit2.rtd",,$B$7,"LASTHIST",A326)</f>
        <v>1007</v>
      </c>
      <c r="C326" s="1">
        <f t="shared" si="118"/>
        <v>32</v>
      </c>
    </row>
    <row r="327" spans="1:7" x14ac:dyDescent="0.25">
      <c r="A327" s="1">
        <f t="shared" si="113"/>
        <v>314</v>
      </c>
      <c r="B327" s="1">
        <f>RTD("rit2.rtd",,$B$7,"LASTHIST",A327)</f>
        <v>1007</v>
      </c>
      <c r="C327" s="1">
        <f t="shared" si="118"/>
        <v>32</v>
      </c>
    </row>
    <row r="328" spans="1:7" x14ac:dyDescent="0.25">
      <c r="A328" s="1">
        <f t="shared" si="113"/>
        <v>315</v>
      </c>
      <c r="B328" s="1">
        <f>RTD("rit2.rtd",,$B$7,"LASTHIST",A328)</f>
        <v>1007</v>
      </c>
      <c r="C328" s="1">
        <f t="shared" si="118"/>
        <v>32</v>
      </c>
    </row>
    <row r="329" spans="1:7" x14ac:dyDescent="0.25">
      <c r="A329" s="1">
        <f t="shared" si="113"/>
        <v>316</v>
      </c>
      <c r="B329" s="1">
        <f>RTD("rit2.rtd",,$B$7,"LASTHIST",A329)</f>
        <v>1008</v>
      </c>
      <c r="C329" s="1">
        <f t="shared" si="118"/>
        <v>32</v>
      </c>
    </row>
    <row r="330" spans="1:7" x14ac:dyDescent="0.25">
      <c r="A330" s="1">
        <f t="shared" si="113"/>
        <v>317</v>
      </c>
      <c r="B330" s="1">
        <f>RTD("rit2.rtd",,$B$7,"LASTHIST",A330)</f>
        <v>1007</v>
      </c>
      <c r="C330" s="1">
        <f t="shared" si="118"/>
        <v>32</v>
      </c>
    </row>
    <row r="331" spans="1:7" x14ac:dyDescent="0.25">
      <c r="A331" s="1">
        <f t="shared" si="113"/>
        <v>318</v>
      </c>
      <c r="B331" s="1">
        <f>RTD("rit2.rtd",,$B$7,"LASTHIST",A331)</f>
        <v>1006</v>
      </c>
      <c r="C331" s="1">
        <f t="shared" si="118"/>
        <v>32</v>
      </c>
    </row>
    <row r="332" spans="1:7" x14ac:dyDescent="0.25">
      <c r="A332" s="1">
        <f t="shared" si="113"/>
        <v>319</v>
      </c>
      <c r="B332" s="1">
        <f>RTD("rit2.rtd",,$B$7,"LASTHIST",A332)</f>
        <v>1005</v>
      </c>
      <c r="C332" s="1">
        <f t="shared" si="118"/>
        <v>32</v>
      </c>
    </row>
    <row r="333" spans="1:7" x14ac:dyDescent="0.25">
      <c r="A333" s="1">
        <f t="shared" si="113"/>
        <v>320</v>
      </c>
      <c r="B333" s="1">
        <f>RTD("rit2.rtd",,$B$7,"LASTHIST",A333)</f>
        <v>1004</v>
      </c>
      <c r="C333" s="1">
        <f t="shared" si="118"/>
        <v>32</v>
      </c>
    </row>
    <row r="334" spans="1:7" x14ac:dyDescent="0.25">
      <c r="A334" s="1">
        <f t="shared" si="113"/>
        <v>321</v>
      </c>
      <c r="B334" s="1">
        <f>RTD("rit2.rtd",,$B$7,"LASTHIST",A334)</f>
        <v>1003</v>
      </c>
      <c r="C334" s="1">
        <f t="shared" si="118"/>
        <v>33</v>
      </c>
      <c r="D334" s="1">
        <f t="shared" ref="D334" si="139">IF(B334=0,"",B334)</f>
        <v>1003</v>
      </c>
      <c r="E334" s="1">
        <f t="shared" ref="E334" si="140">IF(B334=0,"",MAX(B334:B343))</f>
        <v>1003</v>
      </c>
      <c r="F334" s="1">
        <f t="shared" ref="F334" si="141">IF(B334=0,"",IF(B343&lt;&gt;0,MIN(B334:B343),IF(B342&lt;&gt;0,MIN(B334:B342),IF(B341&lt;&gt;0,MIN(B334:B341),IF(B340&lt;&gt;0,MIN(B334:B340),IF(B339&lt;&gt;0,MIN(B334:B339),IF(B338&lt;&gt;0,MIN(B334:B338),IF(B337&lt;&gt;0,MIN(B334:B337),IF(B336&lt;&gt;0,MIN(B334:B336),IF(B335&lt;&gt;0,MIN(B334:B335),B334))))))))))</f>
        <v>1001</v>
      </c>
      <c r="G334" s="1">
        <f t="shared" ref="G334" si="142">IF(AND(B343=0,F334=""),"",IF(B343=0,$B$8,B343))</f>
        <v>1002</v>
      </c>
    </row>
    <row r="335" spans="1:7" x14ac:dyDescent="0.25">
      <c r="A335" s="1">
        <f t="shared" si="113"/>
        <v>322</v>
      </c>
      <c r="B335" s="1">
        <f>RTD("rit2.rtd",,$B$7,"LASTHIST",A335)</f>
        <v>1002</v>
      </c>
      <c r="C335" s="1">
        <f t="shared" si="118"/>
        <v>33</v>
      </c>
    </row>
    <row r="336" spans="1:7" x14ac:dyDescent="0.25">
      <c r="A336" s="1">
        <f t="shared" ref="A336:A399" si="143">A335+1</f>
        <v>323</v>
      </c>
      <c r="B336" s="1">
        <f>RTD("rit2.rtd",,$B$7,"LASTHIST",A336)</f>
        <v>1002</v>
      </c>
      <c r="C336" s="1">
        <f t="shared" si="118"/>
        <v>33</v>
      </c>
    </row>
    <row r="337" spans="1:7" x14ac:dyDescent="0.25">
      <c r="A337" s="1">
        <f t="shared" si="143"/>
        <v>324</v>
      </c>
      <c r="B337" s="1">
        <f>RTD("rit2.rtd",,$B$7,"LASTHIST",A337)</f>
        <v>1001</v>
      </c>
      <c r="C337" s="1">
        <f t="shared" si="118"/>
        <v>33</v>
      </c>
    </row>
    <row r="338" spans="1:7" x14ac:dyDescent="0.25">
      <c r="A338" s="1">
        <f t="shared" si="143"/>
        <v>325</v>
      </c>
      <c r="B338" s="1">
        <f>RTD("rit2.rtd",,$B$7,"LASTHIST",A338)</f>
        <v>1001</v>
      </c>
      <c r="C338" s="1">
        <f t="shared" si="118"/>
        <v>33</v>
      </c>
    </row>
    <row r="339" spans="1:7" x14ac:dyDescent="0.25">
      <c r="A339" s="1">
        <f t="shared" si="143"/>
        <v>326</v>
      </c>
      <c r="B339" s="1">
        <f>RTD("rit2.rtd",,$B$7,"LASTHIST",A339)</f>
        <v>1001</v>
      </c>
      <c r="C339" s="1">
        <f t="shared" si="118"/>
        <v>33</v>
      </c>
    </row>
    <row r="340" spans="1:7" x14ac:dyDescent="0.25">
      <c r="A340" s="1">
        <f t="shared" si="143"/>
        <v>327</v>
      </c>
      <c r="B340" s="1">
        <f>RTD("rit2.rtd",,$B$7,"LASTHIST",A340)</f>
        <v>1002</v>
      </c>
      <c r="C340" s="1">
        <f t="shared" si="118"/>
        <v>33</v>
      </c>
    </row>
    <row r="341" spans="1:7" x14ac:dyDescent="0.25">
      <c r="A341" s="1">
        <f t="shared" si="143"/>
        <v>328</v>
      </c>
      <c r="B341" s="1">
        <f>RTD("rit2.rtd",,$B$7,"LASTHIST",A341)</f>
        <v>1002</v>
      </c>
      <c r="C341" s="1">
        <f t="shared" si="118"/>
        <v>33</v>
      </c>
    </row>
    <row r="342" spans="1:7" x14ac:dyDescent="0.25">
      <c r="A342" s="1">
        <f t="shared" si="143"/>
        <v>329</v>
      </c>
      <c r="B342" s="1">
        <f>RTD("rit2.rtd",,$B$7,"LASTHIST",A342)</f>
        <v>1002</v>
      </c>
      <c r="C342" s="1">
        <f t="shared" si="118"/>
        <v>33</v>
      </c>
    </row>
    <row r="343" spans="1:7" x14ac:dyDescent="0.25">
      <c r="A343" s="1">
        <f t="shared" si="143"/>
        <v>330</v>
      </c>
      <c r="B343" s="1">
        <f>RTD("rit2.rtd",,$B$7,"LASTHIST",A343)</f>
        <v>1002</v>
      </c>
      <c r="C343" s="1">
        <f t="shared" si="118"/>
        <v>33</v>
      </c>
    </row>
    <row r="344" spans="1:7" x14ac:dyDescent="0.25">
      <c r="A344" s="1">
        <f t="shared" si="143"/>
        <v>331</v>
      </c>
      <c r="B344" s="1">
        <f>RTD("rit2.rtd",,$B$7,"LASTHIST",A344)</f>
        <v>1002</v>
      </c>
      <c r="C344" s="1">
        <f t="shared" si="118"/>
        <v>34</v>
      </c>
      <c r="D344" s="1">
        <f t="shared" ref="D344" si="144">IF(B344=0,"",B344)</f>
        <v>1002</v>
      </c>
      <c r="E344" s="1">
        <f t="shared" ref="E344" si="145">IF(B344=0,"",MAX(B344:B353))</f>
        <v>1003</v>
      </c>
      <c r="F344" s="1">
        <f t="shared" ref="F344" si="146">IF(B344=0,"",IF(B353&lt;&gt;0,MIN(B344:B353),IF(B352&lt;&gt;0,MIN(B344:B352),IF(B351&lt;&gt;0,MIN(B344:B351),IF(B350&lt;&gt;0,MIN(B344:B350),IF(B349&lt;&gt;0,MIN(B344:B349),IF(B348&lt;&gt;0,MIN(B344:B348),IF(B347&lt;&gt;0,MIN(B344:B347),IF(B346&lt;&gt;0,MIN(B344:B346),IF(B345&lt;&gt;0,MIN(B344:B345),B344))))))))))</f>
        <v>993</v>
      </c>
      <c r="G344" s="1">
        <f t="shared" ref="G344" si="147">IF(AND(B353=0,F344=""),"",IF(B353=0,$B$8,B353))</f>
        <v>993</v>
      </c>
    </row>
    <row r="345" spans="1:7" x14ac:dyDescent="0.25">
      <c r="A345" s="1">
        <f t="shared" si="143"/>
        <v>332</v>
      </c>
      <c r="B345" s="1">
        <f>RTD("rit2.rtd",,$B$7,"LASTHIST",A345)</f>
        <v>1003</v>
      </c>
      <c r="C345" s="1">
        <f t="shared" ref="C345:C408" si="148">C335+1</f>
        <v>34</v>
      </c>
    </row>
    <row r="346" spans="1:7" x14ac:dyDescent="0.25">
      <c r="A346" s="1">
        <f t="shared" si="143"/>
        <v>333</v>
      </c>
      <c r="B346" s="1">
        <f>RTD("rit2.rtd",,$B$7,"LASTHIST",A346)</f>
        <v>1002</v>
      </c>
      <c r="C346" s="1">
        <f t="shared" si="148"/>
        <v>34</v>
      </c>
    </row>
    <row r="347" spans="1:7" x14ac:dyDescent="0.25">
      <c r="A347" s="1">
        <f t="shared" si="143"/>
        <v>334</v>
      </c>
      <c r="B347" s="1">
        <f>RTD("rit2.rtd",,$B$7,"LASTHIST",A347)</f>
        <v>1003</v>
      </c>
      <c r="C347" s="1">
        <f t="shared" si="148"/>
        <v>34</v>
      </c>
    </row>
    <row r="348" spans="1:7" x14ac:dyDescent="0.25">
      <c r="A348" s="1">
        <f t="shared" si="143"/>
        <v>335</v>
      </c>
      <c r="B348" s="1">
        <f>RTD("rit2.rtd",,$B$7,"LASTHIST",A348)</f>
        <v>1001</v>
      </c>
      <c r="C348" s="1">
        <f t="shared" si="148"/>
        <v>34</v>
      </c>
    </row>
    <row r="349" spans="1:7" x14ac:dyDescent="0.25">
      <c r="A349" s="1">
        <f t="shared" si="143"/>
        <v>336</v>
      </c>
      <c r="B349" s="1">
        <f>RTD("rit2.rtd",,$B$7,"LASTHIST",A349)</f>
        <v>1000</v>
      </c>
      <c r="C349" s="1">
        <f t="shared" si="148"/>
        <v>34</v>
      </c>
    </row>
    <row r="350" spans="1:7" x14ac:dyDescent="0.25">
      <c r="A350" s="1">
        <f t="shared" si="143"/>
        <v>337</v>
      </c>
      <c r="B350" s="1">
        <f>RTD("rit2.rtd",,$B$7,"LASTHIST",A350)</f>
        <v>998</v>
      </c>
      <c r="C350" s="1">
        <f t="shared" si="148"/>
        <v>34</v>
      </c>
    </row>
    <row r="351" spans="1:7" x14ac:dyDescent="0.25">
      <c r="A351" s="1">
        <f t="shared" si="143"/>
        <v>338</v>
      </c>
      <c r="B351" s="1">
        <f>RTD("rit2.rtd",,$B$7,"LASTHIST",A351)</f>
        <v>997</v>
      </c>
      <c r="C351" s="1">
        <f t="shared" si="148"/>
        <v>34</v>
      </c>
    </row>
    <row r="352" spans="1:7" x14ac:dyDescent="0.25">
      <c r="A352" s="1">
        <f t="shared" si="143"/>
        <v>339</v>
      </c>
      <c r="B352" s="1">
        <f>RTD("rit2.rtd",,$B$7,"LASTHIST",A352)</f>
        <v>995</v>
      </c>
      <c r="C352" s="1">
        <f t="shared" si="148"/>
        <v>34</v>
      </c>
    </row>
    <row r="353" spans="1:7" x14ac:dyDescent="0.25">
      <c r="A353" s="1">
        <f t="shared" si="143"/>
        <v>340</v>
      </c>
      <c r="B353" s="1">
        <f>RTD("rit2.rtd",,$B$7,"LASTHIST",A353)</f>
        <v>993</v>
      </c>
      <c r="C353" s="1">
        <f t="shared" si="148"/>
        <v>34</v>
      </c>
    </row>
    <row r="354" spans="1:7" x14ac:dyDescent="0.25">
      <c r="A354" s="1">
        <f t="shared" si="143"/>
        <v>341</v>
      </c>
      <c r="B354" s="1">
        <f>RTD("rit2.rtd",,$B$7,"LASTHIST",A354)</f>
        <v>994</v>
      </c>
      <c r="C354" s="1">
        <f t="shared" si="148"/>
        <v>35</v>
      </c>
      <c r="D354" s="1">
        <f t="shared" ref="D354" si="149">IF(B354=0,"",B354)</f>
        <v>994</v>
      </c>
      <c r="E354" s="1">
        <f t="shared" ref="E354" si="150">IF(B354=0,"",MAX(B354:B363))</f>
        <v>996</v>
      </c>
      <c r="F354" s="1">
        <f t="shared" ref="F354" si="151">IF(B354=0,"",IF(B363&lt;&gt;0,MIN(B354:B363),IF(B362&lt;&gt;0,MIN(B354:B362),IF(B361&lt;&gt;0,MIN(B354:B361),IF(B360&lt;&gt;0,MIN(B354:B360),IF(B359&lt;&gt;0,MIN(B354:B359),IF(B358&lt;&gt;0,MIN(B354:B358),IF(B357&lt;&gt;0,MIN(B354:B357),IF(B356&lt;&gt;0,MIN(B354:B356),IF(B355&lt;&gt;0,MIN(B354:B355),B354))))))))))</f>
        <v>994</v>
      </c>
      <c r="G354" s="1">
        <f t="shared" ref="G354" si="152">IF(AND(B363=0,F354=""),"",IF(B363=0,$B$8,B363))</f>
        <v>995</v>
      </c>
    </row>
    <row r="355" spans="1:7" x14ac:dyDescent="0.25">
      <c r="A355" s="1">
        <f t="shared" si="143"/>
        <v>342</v>
      </c>
      <c r="B355" s="1">
        <f>RTD("rit2.rtd",,$B$7,"LASTHIST",A355)</f>
        <v>995</v>
      </c>
      <c r="C355" s="1">
        <f t="shared" si="148"/>
        <v>35</v>
      </c>
    </row>
    <row r="356" spans="1:7" x14ac:dyDescent="0.25">
      <c r="A356" s="1">
        <f t="shared" si="143"/>
        <v>343</v>
      </c>
      <c r="B356" s="1">
        <f>RTD("rit2.rtd",,$B$7,"LASTHIST",A356)</f>
        <v>996</v>
      </c>
      <c r="C356" s="1">
        <f t="shared" si="148"/>
        <v>35</v>
      </c>
    </row>
    <row r="357" spans="1:7" x14ac:dyDescent="0.25">
      <c r="A357" s="1">
        <f t="shared" si="143"/>
        <v>344</v>
      </c>
      <c r="B357" s="1">
        <f>RTD("rit2.rtd",,$B$7,"LASTHIST",A357)</f>
        <v>995</v>
      </c>
      <c r="C357" s="1">
        <f t="shared" si="148"/>
        <v>35</v>
      </c>
    </row>
    <row r="358" spans="1:7" x14ac:dyDescent="0.25">
      <c r="A358" s="1">
        <f t="shared" si="143"/>
        <v>345</v>
      </c>
      <c r="B358" s="1">
        <f>RTD("rit2.rtd",,$B$7,"LASTHIST",A358)</f>
        <v>995</v>
      </c>
      <c r="C358" s="1">
        <f t="shared" si="148"/>
        <v>35</v>
      </c>
    </row>
    <row r="359" spans="1:7" x14ac:dyDescent="0.25">
      <c r="A359" s="1">
        <f t="shared" si="143"/>
        <v>346</v>
      </c>
      <c r="B359" s="1">
        <f>RTD("rit2.rtd",,$B$7,"LASTHIST",A359)</f>
        <v>995</v>
      </c>
      <c r="C359" s="1">
        <f t="shared" si="148"/>
        <v>35</v>
      </c>
    </row>
    <row r="360" spans="1:7" x14ac:dyDescent="0.25">
      <c r="A360" s="1">
        <f t="shared" si="143"/>
        <v>347</v>
      </c>
      <c r="B360" s="1">
        <f>RTD("rit2.rtd",,$B$7,"LASTHIST",A360)</f>
        <v>995</v>
      </c>
      <c r="C360" s="1">
        <f t="shared" si="148"/>
        <v>35</v>
      </c>
    </row>
    <row r="361" spans="1:7" x14ac:dyDescent="0.25">
      <c r="A361" s="1">
        <f t="shared" si="143"/>
        <v>348</v>
      </c>
      <c r="B361" s="1">
        <f>RTD("rit2.rtd",,$B$7,"LASTHIST",A361)</f>
        <v>995</v>
      </c>
      <c r="C361" s="1">
        <f t="shared" si="148"/>
        <v>35</v>
      </c>
    </row>
    <row r="362" spans="1:7" x14ac:dyDescent="0.25">
      <c r="A362" s="1">
        <f t="shared" si="143"/>
        <v>349</v>
      </c>
      <c r="B362" s="1">
        <f>RTD("rit2.rtd",,$B$7,"LASTHIST",A362)</f>
        <v>995</v>
      </c>
      <c r="C362" s="1">
        <f t="shared" si="148"/>
        <v>35</v>
      </c>
    </row>
    <row r="363" spans="1:7" x14ac:dyDescent="0.25">
      <c r="A363" s="1">
        <f t="shared" si="143"/>
        <v>350</v>
      </c>
      <c r="B363" s="1">
        <f>RTD("rit2.rtd",,$B$7,"LASTHIST",A363)</f>
        <v>995</v>
      </c>
      <c r="C363" s="1">
        <f t="shared" si="148"/>
        <v>35</v>
      </c>
    </row>
    <row r="364" spans="1:7" x14ac:dyDescent="0.25">
      <c r="A364" s="1">
        <f t="shared" si="143"/>
        <v>351</v>
      </c>
      <c r="B364" s="1">
        <f>RTD("rit2.rtd",,$B$7,"LASTHIST",A364)</f>
        <v>995</v>
      </c>
      <c r="C364" s="1">
        <f t="shared" si="148"/>
        <v>36</v>
      </c>
      <c r="D364" s="1">
        <f t="shared" ref="D364" si="153">IF(B364=0,"",B364)</f>
        <v>995</v>
      </c>
      <c r="E364" s="1">
        <f t="shared" ref="E364" si="154">IF(B364=0,"",MAX(B364:B373))</f>
        <v>996</v>
      </c>
      <c r="F364" s="1">
        <f t="shared" ref="F364" si="155">IF(B364=0,"",IF(B373&lt;&gt;0,MIN(B364:B373),IF(B372&lt;&gt;0,MIN(B364:B372),IF(B371&lt;&gt;0,MIN(B364:B371),IF(B370&lt;&gt;0,MIN(B364:B370),IF(B369&lt;&gt;0,MIN(B364:B369),IF(B368&lt;&gt;0,MIN(B364:B368),IF(B367&lt;&gt;0,MIN(B364:B367),IF(B366&lt;&gt;0,MIN(B364:B366),IF(B365&lt;&gt;0,MIN(B364:B365),B364))))))))))</f>
        <v>995</v>
      </c>
      <c r="G364" s="1">
        <f t="shared" ref="G364" si="156">IF(AND(B373=0,F364=""),"",IF(B373=0,$B$8,B373))</f>
        <v>996</v>
      </c>
    </row>
    <row r="365" spans="1:7" x14ac:dyDescent="0.25">
      <c r="A365" s="1">
        <f t="shared" si="143"/>
        <v>352</v>
      </c>
      <c r="B365" s="1">
        <f>RTD("rit2.rtd",,$B$7,"LASTHIST",A365)</f>
        <v>995</v>
      </c>
      <c r="C365" s="1">
        <f t="shared" si="148"/>
        <v>36</v>
      </c>
    </row>
    <row r="366" spans="1:7" x14ac:dyDescent="0.25">
      <c r="A366" s="1">
        <f t="shared" si="143"/>
        <v>353</v>
      </c>
      <c r="B366" s="1">
        <f>RTD("rit2.rtd",,$B$7,"LASTHIST",A366)</f>
        <v>995</v>
      </c>
      <c r="C366" s="1">
        <f t="shared" si="148"/>
        <v>36</v>
      </c>
    </row>
    <row r="367" spans="1:7" x14ac:dyDescent="0.25">
      <c r="A367" s="1">
        <f t="shared" si="143"/>
        <v>354</v>
      </c>
      <c r="B367" s="1">
        <f>RTD("rit2.rtd",,$B$7,"LASTHIST",A367)</f>
        <v>995</v>
      </c>
      <c r="C367" s="1">
        <f t="shared" si="148"/>
        <v>36</v>
      </c>
    </row>
    <row r="368" spans="1:7" x14ac:dyDescent="0.25">
      <c r="A368" s="1">
        <f t="shared" si="143"/>
        <v>355</v>
      </c>
      <c r="B368" s="1">
        <f>RTD("rit2.rtd",,$B$7,"LASTHIST",A368)</f>
        <v>995</v>
      </c>
      <c r="C368" s="1">
        <f t="shared" si="148"/>
        <v>36</v>
      </c>
    </row>
    <row r="369" spans="1:7" x14ac:dyDescent="0.25">
      <c r="A369" s="1">
        <f t="shared" si="143"/>
        <v>356</v>
      </c>
      <c r="B369" s="1">
        <f>RTD("rit2.rtd",,$B$7,"LASTHIST",A369)</f>
        <v>995</v>
      </c>
      <c r="C369" s="1">
        <f t="shared" si="148"/>
        <v>36</v>
      </c>
    </row>
    <row r="370" spans="1:7" x14ac:dyDescent="0.25">
      <c r="A370" s="1">
        <f t="shared" si="143"/>
        <v>357</v>
      </c>
      <c r="B370" s="1">
        <f>RTD("rit2.rtd",,$B$7,"LASTHIST",A370)</f>
        <v>995</v>
      </c>
      <c r="C370" s="1">
        <f t="shared" si="148"/>
        <v>36</v>
      </c>
    </row>
    <row r="371" spans="1:7" x14ac:dyDescent="0.25">
      <c r="A371" s="1">
        <f t="shared" si="143"/>
        <v>358</v>
      </c>
      <c r="B371" s="1">
        <f>RTD("rit2.rtd",,$B$7,"LASTHIST",A371)</f>
        <v>996</v>
      </c>
      <c r="C371" s="1">
        <f t="shared" si="148"/>
        <v>36</v>
      </c>
    </row>
    <row r="372" spans="1:7" x14ac:dyDescent="0.25">
      <c r="A372" s="1">
        <f t="shared" si="143"/>
        <v>359</v>
      </c>
      <c r="B372" s="1">
        <f>RTD("rit2.rtd",,$B$7,"LASTHIST",A372)</f>
        <v>996</v>
      </c>
      <c r="C372" s="1">
        <f t="shared" si="148"/>
        <v>36</v>
      </c>
    </row>
    <row r="373" spans="1:7" x14ac:dyDescent="0.25">
      <c r="A373" s="1">
        <f t="shared" si="143"/>
        <v>360</v>
      </c>
      <c r="B373" s="1">
        <f>RTD("rit2.rtd",,$B$7,"LASTHIST",A373)</f>
        <v>996</v>
      </c>
      <c r="C373" s="1">
        <f t="shared" si="148"/>
        <v>36</v>
      </c>
    </row>
    <row r="374" spans="1:7" x14ac:dyDescent="0.25">
      <c r="A374" s="1">
        <f t="shared" si="143"/>
        <v>361</v>
      </c>
      <c r="B374" s="1">
        <f>RTD("rit2.rtd",,$B$7,"LASTHIST",A374)</f>
        <v>997</v>
      </c>
      <c r="C374" s="1">
        <f t="shared" si="148"/>
        <v>37</v>
      </c>
      <c r="D374" s="1">
        <f t="shared" ref="D374" si="157">IF(B374=0,"",B374)</f>
        <v>997</v>
      </c>
      <c r="E374" s="1">
        <f t="shared" ref="E374" si="158">IF(B374=0,"",MAX(B374:B383))</f>
        <v>997</v>
      </c>
      <c r="F374" s="1">
        <f t="shared" ref="F374" si="159">IF(B374=0,"",IF(B383&lt;&gt;0,MIN(B374:B383),IF(B382&lt;&gt;0,MIN(B374:B382),IF(B381&lt;&gt;0,MIN(B374:B381),IF(B380&lt;&gt;0,MIN(B374:B380),IF(B379&lt;&gt;0,MIN(B374:B379),IF(B378&lt;&gt;0,MIN(B374:B378),IF(B377&lt;&gt;0,MIN(B374:B377),IF(B376&lt;&gt;0,MIN(B374:B376),IF(B375&lt;&gt;0,MIN(B374:B375),B374))))))))))</f>
        <v>997</v>
      </c>
      <c r="G374" s="1">
        <f t="shared" ref="G374" si="160">IF(AND(B383=0,F374=""),"",IF(B383=0,$B$8,B383))</f>
        <v>997</v>
      </c>
    </row>
    <row r="375" spans="1:7" x14ac:dyDescent="0.25">
      <c r="A375" s="1">
        <f t="shared" si="143"/>
        <v>362</v>
      </c>
      <c r="B375" s="1">
        <f>RTD("rit2.rtd",,$B$7,"LASTHIST",A375)</f>
        <v>997</v>
      </c>
      <c r="C375" s="1">
        <f t="shared" si="148"/>
        <v>37</v>
      </c>
    </row>
    <row r="376" spans="1:7" x14ac:dyDescent="0.25">
      <c r="A376" s="1">
        <f t="shared" si="143"/>
        <v>363</v>
      </c>
      <c r="B376" s="1">
        <f>RTD("rit2.rtd",,$B$7,"LASTHIST",A376)</f>
        <v>997</v>
      </c>
      <c r="C376" s="1">
        <f t="shared" si="148"/>
        <v>37</v>
      </c>
    </row>
    <row r="377" spans="1:7" x14ac:dyDescent="0.25">
      <c r="A377" s="1">
        <f t="shared" si="143"/>
        <v>364</v>
      </c>
      <c r="B377" s="1">
        <f>RTD("rit2.rtd",,$B$7,"LASTHIST",A377)</f>
        <v>997</v>
      </c>
      <c r="C377" s="1">
        <f t="shared" si="148"/>
        <v>37</v>
      </c>
    </row>
    <row r="378" spans="1:7" x14ac:dyDescent="0.25">
      <c r="A378" s="1">
        <f t="shared" si="143"/>
        <v>365</v>
      </c>
      <c r="B378" s="1">
        <f>RTD("rit2.rtd",,$B$7,"LASTHIST",A378)</f>
        <v>997</v>
      </c>
      <c r="C378" s="1">
        <f t="shared" si="148"/>
        <v>37</v>
      </c>
    </row>
    <row r="379" spans="1:7" x14ac:dyDescent="0.25">
      <c r="A379" s="1">
        <f t="shared" si="143"/>
        <v>366</v>
      </c>
      <c r="B379" s="1">
        <f>RTD("rit2.rtd",,$B$7,"LASTHIST",A379)</f>
        <v>997</v>
      </c>
      <c r="C379" s="1">
        <f t="shared" si="148"/>
        <v>37</v>
      </c>
    </row>
    <row r="380" spans="1:7" x14ac:dyDescent="0.25">
      <c r="A380" s="1">
        <f t="shared" si="143"/>
        <v>367</v>
      </c>
      <c r="B380" s="1">
        <f>RTD("rit2.rtd",,$B$7,"LASTHIST",A380)</f>
        <v>997</v>
      </c>
      <c r="C380" s="1">
        <f t="shared" si="148"/>
        <v>37</v>
      </c>
    </row>
    <row r="381" spans="1:7" x14ac:dyDescent="0.25">
      <c r="A381" s="1">
        <f t="shared" si="143"/>
        <v>368</v>
      </c>
      <c r="B381" s="1">
        <f>RTD("rit2.rtd",,$B$7,"LASTHIST",A381)</f>
        <v>997</v>
      </c>
      <c r="C381" s="1">
        <f t="shared" si="148"/>
        <v>37</v>
      </c>
    </row>
    <row r="382" spans="1:7" x14ac:dyDescent="0.25">
      <c r="A382" s="1">
        <f t="shared" si="143"/>
        <v>369</v>
      </c>
      <c r="B382" s="1">
        <f>RTD("rit2.rtd",,$B$7,"LASTHIST",A382)</f>
        <v>997</v>
      </c>
      <c r="C382" s="1">
        <f t="shared" si="148"/>
        <v>37</v>
      </c>
    </row>
    <row r="383" spans="1:7" x14ac:dyDescent="0.25">
      <c r="A383" s="1">
        <f t="shared" si="143"/>
        <v>370</v>
      </c>
      <c r="B383" s="1">
        <f>RTD("rit2.rtd",,$B$7,"LASTHIST",A383)</f>
        <v>997</v>
      </c>
      <c r="C383" s="1">
        <f t="shared" si="148"/>
        <v>37</v>
      </c>
    </row>
    <row r="384" spans="1:7" x14ac:dyDescent="0.25">
      <c r="A384" s="1">
        <f t="shared" si="143"/>
        <v>371</v>
      </c>
      <c r="B384" s="1">
        <f>RTD("rit2.rtd",,$B$7,"LASTHIST",A384)</f>
        <v>996</v>
      </c>
      <c r="C384" s="1">
        <f t="shared" si="148"/>
        <v>38</v>
      </c>
      <c r="D384" s="1">
        <f t="shared" ref="D384" si="161">IF(B384=0,"",B384)</f>
        <v>996</v>
      </c>
      <c r="E384" s="1">
        <f t="shared" ref="E384" si="162">IF(B384=0,"",MAX(B384:B393))</f>
        <v>999</v>
      </c>
      <c r="F384" s="1">
        <f t="shared" ref="F384" si="163">IF(B384=0,"",IF(B393&lt;&gt;0,MIN(B384:B393),IF(B392&lt;&gt;0,MIN(B384:B392),IF(B391&lt;&gt;0,MIN(B384:B391),IF(B390&lt;&gt;0,MIN(B384:B390),IF(B389&lt;&gt;0,MIN(B384:B389),IF(B388&lt;&gt;0,MIN(B384:B388),IF(B387&lt;&gt;0,MIN(B384:B387),IF(B386&lt;&gt;0,MIN(B384:B386),IF(B385&lt;&gt;0,MIN(B384:B385),B384))))))))))</f>
        <v>996</v>
      </c>
      <c r="G384" s="1">
        <f t="shared" ref="G384" si="164">IF(AND(B393=0,F384=""),"",IF(B393=0,$B$8,B393))</f>
        <v>999</v>
      </c>
    </row>
    <row r="385" spans="1:7" x14ac:dyDescent="0.25">
      <c r="A385" s="1">
        <f t="shared" si="143"/>
        <v>372</v>
      </c>
      <c r="B385" s="1">
        <f>RTD("rit2.rtd",,$B$7,"LASTHIST",A385)</f>
        <v>996</v>
      </c>
      <c r="C385" s="1">
        <f t="shared" si="148"/>
        <v>38</v>
      </c>
    </row>
    <row r="386" spans="1:7" x14ac:dyDescent="0.25">
      <c r="A386" s="1">
        <f t="shared" si="143"/>
        <v>373</v>
      </c>
      <c r="B386" s="1">
        <f>RTD("rit2.rtd",,$B$7,"LASTHIST",A386)</f>
        <v>996</v>
      </c>
      <c r="C386" s="1">
        <f t="shared" si="148"/>
        <v>38</v>
      </c>
    </row>
    <row r="387" spans="1:7" x14ac:dyDescent="0.25">
      <c r="A387" s="1">
        <f t="shared" si="143"/>
        <v>374</v>
      </c>
      <c r="B387" s="1">
        <f>RTD("rit2.rtd",,$B$7,"LASTHIST",A387)</f>
        <v>997</v>
      </c>
      <c r="C387" s="1">
        <f t="shared" si="148"/>
        <v>38</v>
      </c>
    </row>
    <row r="388" spans="1:7" x14ac:dyDescent="0.25">
      <c r="A388" s="1">
        <f t="shared" si="143"/>
        <v>375</v>
      </c>
      <c r="B388" s="1">
        <f>RTD("rit2.rtd",,$B$7,"LASTHIST",A388)</f>
        <v>997</v>
      </c>
      <c r="C388" s="1">
        <f t="shared" si="148"/>
        <v>38</v>
      </c>
    </row>
    <row r="389" spans="1:7" x14ac:dyDescent="0.25">
      <c r="A389" s="1">
        <f t="shared" si="143"/>
        <v>376</v>
      </c>
      <c r="B389" s="1">
        <f>RTD("rit2.rtd",,$B$7,"LASTHIST",A389)</f>
        <v>997</v>
      </c>
      <c r="C389" s="1">
        <f t="shared" si="148"/>
        <v>38</v>
      </c>
    </row>
    <row r="390" spans="1:7" x14ac:dyDescent="0.25">
      <c r="A390" s="1">
        <f t="shared" si="143"/>
        <v>377</v>
      </c>
      <c r="B390" s="1">
        <f>RTD("rit2.rtd",,$B$7,"LASTHIST",A390)</f>
        <v>997</v>
      </c>
      <c r="C390" s="1">
        <f t="shared" si="148"/>
        <v>38</v>
      </c>
    </row>
    <row r="391" spans="1:7" x14ac:dyDescent="0.25">
      <c r="A391" s="1">
        <f t="shared" si="143"/>
        <v>378</v>
      </c>
      <c r="B391" s="1">
        <f>RTD("rit2.rtd",,$B$7,"LASTHIST",A391)</f>
        <v>998</v>
      </c>
      <c r="C391" s="1">
        <f t="shared" si="148"/>
        <v>38</v>
      </c>
    </row>
    <row r="392" spans="1:7" x14ac:dyDescent="0.25">
      <c r="A392" s="1">
        <f t="shared" si="143"/>
        <v>379</v>
      </c>
      <c r="B392" s="1">
        <f>RTD("rit2.rtd",,$B$7,"LASTHIST",A392)</f>
        <v>999</v>
      </c>
      <c r="C392" s="1">
        <f t="shared" si="148"/>
        <v>38</v>
      </c>
    </row>
    <row r="393" spans="1:7" x14ac:dyDescent="0.25">
      <c r="A393" s="1">
        <f t="shared" si="143"/>
        <v>380</v>
      </c>
      <c r="B393" s="1">
        <f>RTD("rit2.rtd",,$B$7,"LASTHIST",A393)</f>
        <v>999</v>
      </c>
      <c r="C393" s="1">
        <f t="shared" si="148"/>
        <v>38</v>
      </c>
    </row>
    <row r="394" spans="1:7" x14ac:dyDescent="0.25">
      <c r="A394" s="1">
        <f t="shared" si="143"/>
        <v>381</v>
      </c>
      <c r="B394" s="1">
        <f>RTD("rit2.rtd",,$B$7,"LASTHIST",A394)</f>
        <v>1002</v>
      </c>
      <c r="C394" s="1">
        <f t="shared" si="148"/>
        <v>39</v>
      </c>
      <c r="D394" s="1">
        <f t="shared" ref="D394" si="165">IF(B394=0,"",B394)</f>
        <v>1002</v>
      </c>
      <c r="E394" s="1">
        <f t="shared" ref="E394" si="166">IF(B394=0,"",MAX(B394:B403))</f>
        <v>1003</v>
      </c>
      <c r="F394" s="1">
        <f t="shared" ref="F394" si="167">IF(B394=0,"",IF(B403&lt;&gt;0,MIN(B394:B403),IF(B402&lt;&gt;0,MIN(B394:B402),IF(B401&lt;&gt;0,MIN(B394:B401),IF(B400&lt;&gt;0,MIN(B394:B400),IF(B399&lt;&gt;0,MIN(B394:B399),IF(B398&lt;&gt;0,MIN(B394:B398),IF(B397&lt;&gt;0,MIN(B394:B397),IF(B396&lt;&gt;0,MIN(B394:B396),IF(B395&lt;&gt;0,MIN(B394:B395),B394))))))))))</f>
        <v>1001</v>
      </c>
      <c r="G394" s="1">
        <f t="shared" ref="G394" si="168">IF(AND(B403=0,F394=""),"",IF(B403=0,$B$8,B403))</f>
        <v>1003</v>
      </c>
    </row>
    <row r="395" spans="1:7" x14ac:dyDescent="0.25">
      <c r="A395" s="1">
        <f t="shared" si="143"/>
        <v>382</v>
      </c>
      <c r="B395" s="1">
        <f>RTD("rit2.rtd",,$B$7,"LASTHIST",A395)</f>
        <v>1001</v>
      </c>
      <c r="C395" s="1">
        <f t="shared" si="148"/>
        <v>39</v>
      </c>
    </row>
    <row r="396" spans="1:7" x14ac:dyDescent="0.25">
      <c r="A396" s="1">
        <f t="shared" si="143"/>
        <v>383</v>
      </c>
      <c r="B396" s="1">
        <f>RTD("rit2.rtd",,$B$7,"LASTHIST",A396)</f>
        <v>1002</v>
      </c>
      <c r="C396" s="1">
        <f t="shared" si="148"/>
        <v>39</v>
      </c>
    </row>
    <row r="397" spans="1:7" x14ac:dyDescent="0.25">
      <c r="A397" s="1">
        <f t="shared" si="143"/>
        <v>384</v>
      </c>
      <c r="B397" s="1">
        <f>RTD("rit2.rtd",,$B$7,"LASTHIST",A397)</f>
        <v>1002</v>
      </c>
      <c r="C397" s="1">
        <f t="shared" si="148"/>
        <v>39</v>
      </c>
    </row>
    <row r="398" spans="1:7" x14ac:dyDescent="0.25">
      <c r="A398" s="1">
        <f t="shared" si="143"/>
        <v>385</v>
      </c>
      <c r="B398" s="1">
        <f>RTD("rit2.rtd",,$B$7,"LASTHIST",A398)</f>
        <v>1003</v>
      </c>
      <c r="C398" s="1">
        <f t="shared" si="148"/>
        <v>39</v>
      </c>
    </row>
    <row r="399" spans="1:7" x14ac:dyDescent="0.25">
      <c r="A399" s="1">
        <f t="shared" si="143"/>
        <v>386</v>
      </c>
      <c r="B399" s="1">
        <f>RTD("rit2.rtd",,$B$7,"LASTHIST",A399)</f>
        <v>1002</v>
      </c>
      <c r="C399" s="1">
        <f t="shared" si="148"/>
        <v>39</v>
      </c>
    </row>
    <row r="400" spans="1:7" x14ac:dyDescent="0.25">
      <c r="A400" s="1">
        <f t="shared" ref="A400:A463" si="169">A399+1</f>
        <v>387</v>
      </c>
      <c r="B400" s="1">
        <f>RTD("rit2.rtd",,$B$7,"LASTHIST",A400)</f>
        <v>1002</v>
      </c>
      <c r="C400" s="1">
        <f t="shared" si="148"/>
        <v>39</v>
      </c>
    </row>
    <row r="401" spans="1:7" x14ac:dyDescent="0.25">
      <c r="A401" s="1">
        <f t="shared" si="169"/>
        <v>388</v>
      </c>
      <c r="B401" s="1">
        <f>RTD("rit2.rtd",,$B$7,"LASTHIST",A401)</f>
        <v>1002</v>
      </c>
      <c r="C401" s="1">
        <f t="shared" si="148"/>
        <v>39</v>
      </c>
    </row>
    <row r="402" spans="1:7" x14ac:dyDescent="0.25">
      <c r="A402" s="1">
        <f t="shared" si="169"/>
        <v>389</v>
      </c>
      <c r="B402" s="1">
        <f>RTD("rit2.rtd",,$B$7,"LASTHIST",A402)</f>
        <v>1002</v>
      </c>
      <c r="C402" s="1">
        <f t="shared" si="148"/>
        <v>39</v>
      </c>
    </row>
    <row r="403" spans="1:7" x14ac:dyDescent="0.25">
      <c r="A403" s="1">
        <f t="shared" si="169"/>
        <v>390</v>
      </c>
      <c r="B403" s="1">
        <f>RTD("rit2.rtd",,$B$7,"LASTHIST",A403)</f>
        <v>1003</v>
      </c>
      <c r="C403" s="1">
        <f t="shared" si="148"/>
        <v>39</v>
      </c>
    </row>
    <row r="404" spans="1:7" x14ac:dyDescent="0.25">
      <c r="A404" s="1">
        <f t="shared" si="169"/>
        <v>391</v>
      </c>
      <c r="B404" s="1">
        <f>RTD("rit2.rtd",,$B$7,"LASTHIST",A404)</f>
        <v>1004</v>
      </c>
      <c r="C404" s="1">
        <f t="shared" si="148"/>
        <v>40</v>
      </c>
      <c r="D404" s="1">
        <f t="shared" ref="D404" si="170">IF(B404=0,"",B404)</f>
        <v>1004</v>
      </c>
      <c r="E404" s="1">
        <f t="shared" ref="E404" si="171">IF(B404=0,"",MAX(B404:B413))</f>
        <v>1006</v>
      </c>
      <c r="F404" s="1">
        <f t="shared" ref="F404" si="172">IF(B404=0,"",IF(B413&lt;&gt;0,MIN(B404:B413),IF(B412&lt;&gt;0,MIN(B404:B412),IF(B411&lt;&gt;0,MIN(B404:B411),IF(B410&lt;&gt;0,MIN(B404:B410),IF(B409&lt;&gt;0,MIN(B404:B409),IF(B408&lt;&gt;0,MIN(B404:B408),IF(B407&lt;&gt;0,MIN(B404:B407),IF(B406&lt;&gt;0,MIN(B404:B406),IF(B405&lt;&gt;0,MIN(B404:B405),B404))))))))))</f>
        <v>1002</v>
      </c>
      <c r="G404" s="1">
        <f t="shared" ref="G404" si="173">IF(AND(B413=0,F404=""),"",IF(B413=0,$B$8,B413))</f>
        <v>1006</v>
      </c>
    </row>
    <row r="405" spans="1:7" x14ac:dyDescent="0.25">
      <c r="A405" s="1">
        <f t="shared" si="169"/>
        <v>392</v>
      </c>
      <c r="B405" s="1">
        <f>RTD("rit2.rtd",,$B$7,"LASTHIST",A405)</f>
        <v>1003</v>
      </c>
      <c r="C405" s="1">
        <f t="shared" si="148"/>
        <v>40</v>
      </c>
    </row>
    <row r="406" spans="1:7" x14ac:dyDescent="0.25">
      <c r="A406" s="1">
        <f t="shared" si="169"/>
        <v>393</v>
      </c>
      <c r="B406" s="1">
        <f>RTD("rit2.rtd",,$B$7,"LASTHIST",A406)</f>
        <v>1003</v>
      </c>
      <c r="C406" s="1">
        <f t="shared" si="148"/>
        <v>40</v>
      </c>
    </row>
    <row r="407" spans="1:7" x14ac:dyDescent="0.25">
      <c r="A407" s="1">
        <f t="shared" si="169"/>
        <v>394</v>
      </c>
      <c r="B407" s="1">
        <f>RTD("rit2.rtd",,$B$7,"LASTHIST",A407)</f>
        <v>1002</v>
      </c>
      <c r="C407" s="1">
        <f t="shared" si="148"/>
        <v>40</v>
      </c>
    </row>
    <row r="408" spans="1:7" x14ac:dyDescent="0.25">
      <c r="A408" s="1">
        <f t="shared" si="169"/>
        <v>395</v>
      </c>
      <c r="B408" s="1">
        <f>RTD("rit2.rtd",,$B$7,"LASTHIST",A408)</f>
        <v>1002</v>
      </c>
      <c r="C408" s="1">
        <f t="shared" si="148"/>
        <v>40</v>
      </c>
    </row>
    <row r="409" spans="1:7" x14ac:dyDescent="0.25">
      <c r="A409" s="1">
        <f t="shared" si="169"/>
        <v>396</v>
      </c>
      <c r="B409" s="1">
        <f>RTD("rit2.rtd",,$B$7,"LASTHIST",A409)</f>
        <v>1003</v>
      </c>
      <c r="C409" s="1">
        <f t="shared" ref="C409:C463" si="174">C399+1</f>
        <v>40</v>
      </c>
    </row>
    <row r="410" spans="1:7" x14ac:dyDescent="0.25">
      <c r="A410" s="1">
        <f t="shared" si="169"/>
        <v>397</v>
      </c>
      <c r="B410" s="1">
        <f>RTD("rit2.rtd",,$B$7,"LASTHIST",A410)</f>
        <v>1003</v>
      </c>
      <c r="C410" s="1">
        <f t="shared" si="174"/>
        <v>40</v>
      </c>
    </row>
    <row r="411" spans="1:7" x14ac:dyDescent="0.25">
      <c r="A411" s="1">
        <f t="shared" si="169"/>
        <v>398</v>
      </c>
      <c r="B411" s="1">
        <f>RTD("rit2.rtd",,$B$7,"LASTHIST",A411)</f>
        <v>1004</v>
      </c>
      <c r="C411" s="1">
        <f t="shared" si="174"/>
        <v>40</v>
      </c>
    </row>
    <row r="412" spans="1:7" x14ac:dyDescent="0.25">
      <c r="A412" s="1">
        <f t="shared" si="169"/>
        <v>399</v>
      </c>
      <c r="B412" s="1">
        <f>RTD("rit2.rtd",,$B$7,"LASTHIST",A412)</f>
        <v>1005</v>
      </c>
      <c r="C412" s="1">
        <f t="shared" si="174"/>
        <v>40</v>
      </c>
    </row>
    <row r="413" spans="1:7" x14ac:dyDescent="0.25">
      <c r="A413" s="1">
        <f t="shared" si="169"/>
        <v>400</v>
      </c>
      <c r="B413" s="1">
        <f>RTD("rit2.rtd",,$B$7,"LASTHIST",A413)</f>
        <v>1006</v>
      </c>
      <c r="C413" s="1">
        <f t="shared" si="174"/>
        <v>40</v>
      </c>
    </row>
    <row r="414" spans="1:7" x14ac:dyDescent="0.25">
      <c r="A414" s="1">
        <f t="shared" si="169"/>
        <v>401</v>
      </c>
      <c r="B414" s="1">
        <f>RTD("rit2.rtd",,$B$7,"LASTHIST",A414)</f>
        <v>1006</v>
      </c>
      <c r="C414" s="1">
        <f t="shared" si="174"/>
        <v>41</v>
      </c>
      <c r="D414" s="1">
        <f t="shared" ref="D414" si="175">IF(B414=0,"",B414)</f>
        <v>1006</v>
      </c>
      <c r="E414" s="1">
        <f t="shared" ref="E414" si="176">IF(B414=0,"",MAX(B414:B423))</f>
        <v>1009</v>
      </c>
      <c r="F414" s="1">
        <f t="shared" ref="F414" si="177">IF(B414=0,"",IF(B423&lt;&gt;0,MIN(B414:B423),IF(B422&lt;&gt;0,MIN(B414:B422),IF(B421&lt;&gt;0,MIN(B414:B421),IF(B420&lt;&gt;0,MIN(B414:B420),IF(B419&lt;&gt;0,MIN(B414:B419),IF(B418&lt;&gt;0,MIN(B414:B418),IF(B417&lt;&gt;0,MIN(B414:B417),IF(B416&lt;&gt;0,MIN(B414:B416),IF(B415&lt;&gt;0,MIN(B414:B415),B414))))))))))</f>
        <v>1006</v>
      </c>
      <c r="G414" s="1">
        <f t="shared" ref="G414" si="178">IF(AND(B423=0,F414=""),"",IF(B423=0,$B$8,B423))</f>
        <v>1009</v>
      </c>
    </row>
    <row r="415" spans="1:7" x14ac:dyDescent="0.25">
      <c r="A415" s="1">
        <f t="shared" si="169"/>
        <v>402</v>
      </c>
      <c r="B415" s="1">
        <f>RTD("rit2.rtd",,$B$7,"LASTHIST",A415)</f>
        <v>1007</v>
      </c>
      <c r="C415" s="1">
        <f t="shared" si="174"/>
        <v>41</v>
      </c>
    </row>
    <row r="416" spans="1:7" x14ac:dyDescent="0.25">
      <c r="A416" s="1">
        <f t="shared" si="169"/>
        <v>403</v>
      </c>
      <c r="B416" s="1">
        <f>RTD("rit2.rtd",,$B$7,"LASTHIST",A416)</f>
        <v>1006</v>
      </c>
      <c r="C416" s="1">
        <f t="shared" si="174"/>
        <v>41</v>
      </c>
    </row>
    <row r="417" spans="1:7" x14ac:dyDescent="0.25">
      <c r="A417" s="1">
        <f t="shared" si="169"/>
        <v>404</v>
      </c>
      <c r="B417" s="1">
        <f>RTD("rit2.rtd",,$B$7,"LASTHIST",A417)</f>
        <v>1008</v>
      </c>
      <c r="C417" s="1">
        <f t="shared" si="174"/>
        <v>41</v>
      </c>
    </row>
    <row r="418" spans="1:7" x14ac:dyDescent="0.25">
      <c r="A418" s="1">
        <f t="shared" si="169"/>
        <v>405</v>
      </c>
      <c r="B418" s="1">
        <f>RTD("rit2.rtd",,$B$7,"LASTHIST",A418)</f>
        <v>1008</v>
      </c>
      <c r="C418" s="1">
        <f t="shared" si="174"/>
        <v>41</v>
      </c>
    </row>
    <row r="419" spans="1:7" x14ac:dyDescent="0.25">
      <c r="A419" s="1">
        <f t="shared" si="169"/>
        <v>406</v>
      </c>
      <c r="B419" s="1">
        <f>RTD("rit2.rtd",,$B$7,"LASTHIST",A419)</f>
        <v>1008</v>
      </c>
      <c r="C419" s="1">
        <f t="shared" si="174"/>
        <v>41</v>
      </c>
    </row>
    <row r="420" spans="1:7" x14ac:dyDescent="0.25">
      <c r="A420" s="1">
        <f t="shared" si="169"/>
        <v>407</v>
      </c>
      <c r="B420" s="1">
        <f>RTD("rit2.rtd",,$B$7,"LASTHIST",A420)</f>
        <v>1009</v>
      </c>
      <c r="C420" s="1">
        <f t="shared" si="174"/>
        <v>41</v>
      </c>
    </row>
    <row r="421" spans="1:7" x14ac:dyDescent="0.25">
      <c r="A421" s="1">
        <f t="shared" si="169"/>
        <v>408</v>
      </c>
      <c r="B421" s="1">
        <f>RTD("rit2.rtd",,$B$7,"LASTHIST",A421)</f>
        <v>1009</v>
      </c>
      <c r="C421" s="1">
        <f t="shared" si="174"/>
        <v>41</v>
      </c>
    </row>
    <row r="422" spans="1:7" x14ac:dyDescent="0.25">
      <c r="A422" s="1">
        <f t="shared" si="169"/>
        <v>409</v>
      </c>
      <c r="B422" s="1">
        <f>RTD("rit2.rtd",,$B$7,"LASTHIST",A422)</f>
        <v>1009</v>
      </c>
      <c r="C422" s="1">
        <f t="shared" si="174"/>
        <v>41</v>
      </c>
    </row>
    <row r="423" spans="1:7" x14ac:dyDescent="0.25">
      <c r="A423" s="1">
        <f t="shared" si="169"/>
        <v>410</v>
      </c>
      <c r="B423" s="1">
        <f>RTD("rit2.rtd",,$B$7,"LASTHIST",A423)</f>
        <v>1009</v>
      </c>
      <c r="C423" s="1">
        <f t="shared" si="174"/>
        <v>41</v>
      </c>
    </row>
    <row r="424" spans="1:7" x14ac:dyDescent="0.25">
      <c r="A424" s="1">
        <f t="shared" si="169"/>
        <v>411</v>
      </c>
      <c r="B424" s="1">
        <f>RTD("rit2.rtd",,$B$7,"LASTHIST",A424)</f>
        <v>1009</v>
      </c>
      <c r="C424" s="1">
        <f t="shared" si="174"/>
        <v>42</v>
      </c>
      <c r="D424" s="1">
        <f t="shared" ref="D424" si="179">IF(B424=0,"",B424)</f>
        <v>1009</v>
      </c>
      <c r="E424" s="1">
        <f t="shared" ref="E424" si="180">IF(B424=0,"",MAX(B424:B433))</f>
        <v>1010</v>
      </c>
      <c r="F424" s="1">
        <f t="shared" ref="F424" si="181">IF(B424=0,"",IF(B433&lt;&gt;0,MIN(B424:B433),IF(B432&lt;&gt;0,MIN(B424:B432),IF(B431&lt;&gt;0,MIN(B424:B431),IF(B430&lt;&gt;0,MIN(B424:B430),IF(B429&lt;&gt;0,MIN(B424:B429),IF(B428&lt;&gt;0,MIN(B424:B428),IF(B427&lt;&gt;0,MIN(B424:B427),IF(B426&lt;&gt;0,MIN(B424:B426),IF(B425&lt;&gt;0,MIN(B424:B425),B424))))))))))</f>
        <v>1009</v>
      </c>
      <c r="G424" s="1">
        <f t="shared" ref="G424" si="182">IF(AND(B433=0,F424=""),"",IF(B433=0,$B$8,B433))</f>
        <v>1010</v>
      </c>
    </row>
    <row r="425" spans="1:7" x14ac:dyDescent="0.25">
      <c r="A425" s="1">
        <f t="shared" si="169"/>
        <v>412</v>
      </c>
      <c r="B425" s="1">
        <f>RTD("rit2.rtd",,$B$7,"LASTHIST",A425)</f>
        <v>1009</v>
      </c>
      <c r="C425" s="1">
        <f t="shared" si="174"/>
        <v>42</v>
      </c>
    </row>
    <row r="426" spans="1:7" x14ac:dyDescent="0.25">
      <c r="A426" s="1">
        <f t="shared" si="169"/>
        <v>413</v>
      </c>
      <c r="B426" s="1">
        <f>RTD("rit2.rtd",,$B$7,"LASTHIST",A426)</f>
        <v>1009</v>
      </c>
      <c r="C426" s="1">
        <f t="shared" si="174"/>
        <v>42</v>
      </c>
    </row>
    <row r="427" spans="1:7" x14ac:dyDescent="0.25">
      <c r="A427" s="1">
        <f t="shared" si="169"/>
        <v>414</v>
      </c>
      <c r="B427" s="1">
        <f>RTD("rit2.rtd",,$B$7,"LASTHIST",A427)</f>
        <v>1009</v>
      </c>
      <c r="C427" s="1">
        <f t="shared" si="174"/>
        <v>42</v>
      </c>
    </row>
    <row r="428" spans="1:7" x14ac:dyDescent="0.25">
      <c r="A428" s="1">
        <f t="shared" si="169"/>
        <v>415</v>
      </c>
      <c r="B428" s="1">
        <f>RTD("rit2.rtd",,$B$7,"LASTHIST",A428)</f>
        <v>1009</v>
      </c>
      <c r="C428" s="1">
        <f t="shared" si="174"/>
        <v>42</v>
      </c>
    </row>
    <row r="429" spans="1:7" x14ac:dyDescent="0.25">
      <c r="A429" s="1">
        <f t="shared" si="169"/>
        <v>416</v>
      </c>
      <c r="B429" s="1">
        <f>RTD("rit2.rtd",,$B$7,"LASTHIST",A429)</f>
        <v>1009</v>
      </c>
      <c r="C429" s="1">
        <f t="shared" si="174"/>
        <v>42</v>
      </c>
    </row>
    <row r="430" spans="1:7" x14ac:dyDescent="0.25">
      <c r="A430" s="1">
        <f t="shared" si="169"/>
        <v>417</v>
      </c>
      <c r="B430" s="1">
        <f>RTD("rit2.rtd",,$B$7,"LASTHIST",A430)</f>
        <v>1010</v>
      </c>
      <c r="C430" s="1">
        <f t="shared" si="174"/>
        <v>42</v>
      </c>
    </row>
    <row r="431" spans="1:7" x14ac:dyDescent="0.25">
      <c r="A431" s="1">
        <f t="shared" si="169"/>
        <v>418</v>
      </c>
      <c r="B431" s="1">
        <f>RTD("rit2.rtd",,$B$7,"LASTHIST",A431)</f>
        <v>1009</v>
      </c>
      <c r="C431" s="1">
        <f t="shared" si="174"/>
        <v>42</v>
      </c>
    </row>
    <row r="432" spans="1:7" x14ac:dyDescent="0.25">
      <c r="A432" s="1">
        <f t="shared" si="169"/>
        <v>419</v>
      </c>
      <c r="B432" s="1">
        <f>RTD("rit2.rtd",,$B$7,"LASTHIST",A432)</f>
        <v>1009</v>
      </c>
      <c r="C432" s="1">
        <f t="shared" si="174"/>
        <v>42</v>
      </c>
    </row>
    <row r="433" spans="1:7" x14ac:dyDescent="0.25">
      <c r="A433" s="1">
        <f t="shared" si="169"/>
        <v>420</v>
      </c>
      <c r="B433" s="1">
        <f>RTD("rit2.rtd",,$B$7,"LASTHIST",A433)</f>
        <v>1010</v>
      </c>
      <c r="C433" s="1">
        <f t="shared" si="174"/>
        <v>42</v>
      </c>
    </row>
    <row r="434" spans="1:7" x14ac:dyDescent="0.25">
      <c r="A434" s="1">
        <f t="shared" si="169"/>
        <v>421</v>
      </c>
      <c r="B434" s="1">
        <f>RTD("rit2.rtd",,$B$7,"LASTHIST",A434)</f>
        <v>1010</v>
      </c>
      <c r="C434" s="1">
        <f t="shared" si="174"/>
        <v>43</v>
      </c>
      <c r="D434" s="1">
        <f t="shared" ref="D434" si="183">IF(B434=0,"",B434)</f>
        <v>1010</v>
      </c>
      <c r="E434" s="1">
        <f t="shared" ref="E434" si="184">IF(B434=0,"",MAX(B434:B443))</f>
        <v>1017</v>
      </c>
      <c r="F434" s="1">
        <f t="shared" ref="F434" si="185">IF(B434=0,"",IF(B443&lt;&gt;0,MIN(B434:B443),IF(B442&lt;&gt;0,MIN(B434:B442),IF(B441&lt;&gt;0,MIN(B434:B441),IF(B440&lt;&gt;0,MIN(B434:B440),IF(B439&lt;&gt;0,MIN(B434:B439),IF(B438&lt;&gt;0,MIN(B434:B438),IF(B437&lt;&gt;0,MIN(B434:B437),IF(B436&lt;&gt;0,MIN(B434:B436),IF(B435&lt;&gt;0,MIN(B434:B435),B434))))))))))</f>
        <v>1010</v>
      </c>
      <c r="G434" s="1">
        <f t="shared" ref="G434" si="186">IF(AND(B443=0,F434=""),"",IF(B443=0,$B$8,B443))</f>
        <v>1016</v>
      </c>
    </row>
    <row r="435" spans="1:7" x14ac:dyDescent="0.25">
      <c r="A435" s="1">
        <f t="shared" si="169"/>
        <v>422</v>
      </c>
      <c r="B435" s="1">
        <f>RTD("rit2.rtd",,$B$7,"LASTHIST",A435)</f>
        <v>1012</v>
      </c>
      <c r="C435" s="1">
        <f t="shared" si="174"/>
        <v>43</v>
      </c>
    </row>
    <row r="436" spans="1:7" x14ac:dyDescent="0.25">
      <c r="A436" s="1">
        <f t="shared" si="169"/>
        <v>423</v>
      </c>
      <c r="B436" s="1">
        <f>RTD("rit2.rtd",,$B$7,"LASTHIST",A436)</f>
        <v>1013</v>
      </c>
      <c r="C436" s="1">
        <f t="shared" si="174"/>
        <v>43</v>
      </c>
    </row>
    <row r="437" spans="1:7" x14ac:dyDescent="0.25">
      <c r="A437" s="1">
        <f t="shared" si="169"/>
        <v>424</v>
      </c>
      <c r="B437" s="1">
        <f>RTD("rit2.rtd",,$B$7,"LASTHIST",A437)</f>
        <v>1014</v>
      </c>
      <c r="C437" s="1">
        <f t="shared" si="174"/>
        <v>43</v>
      </c>
    </row>
    <row r="438" spans="1:7" x14ac:dyDescent="0.25">
      <c r="A438" s="1">
        <f t="shared" si="169"/>
        <v>425</v>
      </c>
      <c r="B438" s="1">
        <f>RTD("rit2.rtd",,$B$7,"LASTHIST",A438)</f>
        <v>1014</v>
      </c>
      <c r="C438" s="1">
        <f t="shared" si="174"/>
        <v>43</v>
      </c>
    </row>
    <row r="439" spans="1:7" x14ac:dyDescent="0.25">
      <c r="A439" s="1">
        <f t="shared" si="169"/>
        <v>426</v>
      </c>
      <c r="B439" s="1">
        <f>RTD("rit2.rtd",,$B$7,"LASTHIST",A439)</f>
        <v>1015</v>
      </c>
      <c r="C439" s="1">
        <f t="shared" si="174"/>
        <v>43</v>
      </c>
    </row>
    <row r="440" spans="1:7" x14ac:dyDescent="0.25">
      <c r="A440" s="1">
        <f t="shared" si="169"/>
        <v>427</v>
      </c>
      <c r="B440" s="1">
        <f>RTD("rit2.rtd",,$B$7,"LASTHIST",A440)</f>
        <v>1017</v>
      </c>
      <c r="C440" s="1">
        <f t="shared" si="174"/>
        <v>43</v>
      </c>
    </row>
    <row r="441" spans="1:7" x14ac:dyDescent="0.25">
      <c r="A441" s="1">
        <f t="shared" si="169"/>
        <v>428</v>
      </c>
      <c r="B441" s="1">
        <f>RTD("rit2.rtd",,$B$7,"LASTHIST",A441)</f>
        <v>1016</v>
      </c>
      <c r="C441" s="1">
        <f t="shared" si="174"/>
        <v>43</v>
      </c>
    </row>
    <row r="442" spans="1:7" x14ac:dyDescent="0.25">
      <c r="A442" s="1">
        <f t="shared" si="169"/>
        <v>429</v>
      </c>
      <c r="B442" s="1">
        <f>RTD("rit2.rtd",,$B$7,"LASTHIST",A442)</f>
        <v>1016</v>
      </c>
      <c r="C442" s="1">
        <f t="shared" si="174"/>
        <v>43</v>
      </c>
    </row>
    <row r="443" spans="1:7" x14ac:dyDescent="0.25">
      <c r="A443" s="1">
        <f t="shared" si="169"/>
        <v>430</v>
      </c>
      <c r="B443" s="1">
        <f>RTD("rit2.rtd",,$B$7,"LASTHIST",A443)</f>
        <v>1016</v>
      </c>
      <c r="C443" s="1">
        <f t="shared" si="174"/>
        <v>43</v>
      </c>
    </row>
    <row r="444" spans="1:7" x14ac:dyDescent="0.25">
      <c r="A444" s="1">
        <f t="shared" si="169"/>
        <v>431</v>
      </c>
      <c r="B444" s="1">
        <f>RTD("rit2.rtd",,$B$7,"LASTHIST",A444)</f>
        <v>1017</v>
      </c>
      <c r="C444" s="1">
        <f t="shared" si="174"/>
        <v>44</v>
      </c>
      <c r="D444" s="1">
        <f t="shared" ref="D444" si="187">IF(B444=0,"",B444)</f>
        <v>1017</v>
      </c>
      <c r="E444" s="1">
        <f t="shared" ref="E444" si="188">IF(B444=0,"",MAX(B444:B453))</f>
        <v>1017</v>
      </c>
      <c r="F444" s="1">
        <f t="shared" ref="F444" si="189">IF(B444=0,"",IF(B453&lt;&gt;0,MIN(B444:B453),IF(B452&lt;&gt;0,MIN(B444:B452),IF(B451&lt;&gt;0,MIN(B444:B451),IF(B450&lt;&gt;0,MIN(B444:B450),IF(B449&lt;&gt;0,MIN(B444:B449),IF(B448&lt;&gt;0,MIN(B444:B448),IF(B447&lt;&gt;0,MIN(B444:B447),IF(B446&lt;&gt;0,MIN(B444:B446),IF(B445&lt;&gt;0,MIN(B444:B445),B444))))))))))</f>
        <v>1014</v>
      </c>
      <c r="G444" s="1">
        <f t="shared" ref="G444" si="190">IF(AND(B453=0,F444=""),"",IF(B453=0,$B$8,B453))</f>
        <v>1014</v>
      </c>
    </row>
    <row r="445" spans="1:7" x14ac:dyDescent="0.25">
      <c r="A445" s="1">
        <f t="shared" si="169"/>
        <v>432</v>
      </c>
      <c r="B445" s="1">
        <f>RTD("rit2.rtd",,$B$7,"LASTHIST",A445)</f>
        <v>1017</v>
      </c>
      <c r="C445" s="1">
        <f t="shared" si="174"/>
        <v>44</v>
      </c>
    </row>
    <row r="446" spans="1:7" x14ac:dyDescent="0.25">
      <c r="A446" s="1">
        <f t="shared" si="169"/>
        <v>433</v>
      </c>
      <c r="B446" s="1">
        <f>RTD("rit2.rtd",,$B$7,"LASTHIST",A446)</f>
        <v>1017</v>
      </c>
      <c r="C446" s="1">
        <f t="shared" si="174"/>
        <v>44</v>
      </c>
    </row>
    <row r="447" spans="1:7" x14ac:dyDescent="0.25">
      <c r="A447" s="1">
        <f t="shared" si="169"/>
        <v>434</v>
      </c>
      <c r="B447" s="1">
        <f>RTD("rit2.rtd",,$B$7,"LASTHIST",A447)</f>
        <v>1017</v>
      </c>
      <c r="C447" s="1">
        <f t="shared" si="174"/>
        <v>44</v>
      </c>
    </row>
    <row r="448" spans="1:7" x14ac:dyDescent="0.25">
      <c r="A448" s="1">
        <f t="shared" si="169"/>
        <v>435</v>
      </c>
      <c r="B448" s="1">
        <f>RTD("rit2.rtd",,$B$7,"LASTHIST",A448)</f>
        <v>1016</v>
      </c>
      <c r="C448" s="1">
        <f t="shared" si="174"/>
        <v>44</v>
      </c>
    </row>
    <row r="449" spans="1:7" x14ac:dyDescent="0.25">
      <c r="A449" s="1">
        <f t="shared" si="169"/>
        <v>436</v>
      </c>
      <c r="B449" s="1">
        <f>RTD("rit2.rtd",,$B$7,"LASTHIST",A449)</f>
        <v>1015</v>
      </c>
      <c r="C449" s="1">
        <f t="shared" si="174"/>
        <v>44</v>
      </c>
    </row>
    <row r="450" spans="1:7" x14ac:dyDescent="0.25">
      <c r="A450" s="1">
        <f t="shared" si="169"/>
        <v>437</v>
      </c>
      <c r="B450" s="1">
        <f>RTD("rit2.rtd",,$B$7,"LASTHIST",A450)</f>
        <v>1015</v>
      </c>
      <c r="C450" s="1">
        <f t="shared" si="174"/>
        <v>44</v>
      </c>
    </row>
    <row r="451" spans="1:7" x14ac:dyDescent="0.25">
      <c r="A451" s="1">
        <f t="shared" si="169"/>
        <v>438</v>
      </c>
      <c r="B451" s="1">
        <f>RTD("rit2.rtd",,$B$7,"LASTHIST",A451)</f>
        <v>1014</v>
      </c>
      <c r="C451" s="1">
        <f t="shared" si="174"/>
        <v>44</v>
      </c>
    </row>
    <row r="452" spans="1:7" x14ac:dyDescent="0.25">
      <c r="A452" s="1">
        <f t="shared" si="169"/>
        <v>439</v>
      </c>
      <c r="B452" s="1">
        <f>RTD("rit2.rtd",,$B$7,"LASTHIST",A452)</f>
        <v>1014</v>
      </c>
      <c r="C452" s="1">
        <f t="shared" si="174"/>
        <v>44</v>
      </c>
    </row>
    <row r="453" spans="1:7" x14ac:dyDescent="0.25">
      <c r="A453" s="1">
        <f t="shared" si="169"/>
        <v>440</v>
      </c>
      <c r="B453" s="1">
        <f>RTD("rit2.rtd",,$B$7,"LASTHIST",A453)</f>
        <v>1014</v>
      </c>
      <c r="C453" s="1">
        <f t="shared" si="174"/>
        <v>44</v>
      </c>
    </row>
    <row r="454" spans="1:7" x14ac:dyDescent="0.25">
      <c r="A454" s="1">
        <f t="shared" si="169"/>
        <v>441</v>
      </c>
      <c r="B454" s="1">
        <f>RTD("rit2.rtd",,$B$7,"LASTHIST",A454)</f>
        <v>1013</v>
      </c>
      <c r="C454" s="1">
        <f t="shared" si="174"/>
        <v>45</v>
      </c>
      <c r="D454" s="1">
        <f t="shared" ref="D454" si="191">IF(B454=0,"",B454)</f>
        <v>1013</v>
      </c>
      <c r="E454" s="1">
        <f t="shared" ref="E454" si="192">IF(B454=0,"",MAX(B454:B463))</f>
        <v>1014</v>
      </c>
      <c r="F454" s="1">
        <f t="shared" ref="F454" si="193">IF(B454=0,"",IF(B463&lt;&gt;0,MIN(B454:B463),IF(B462&lt;&gt;0,MIN(B454:B462),IF(B461&lt;&gt;0,MIN(B454:B461),IF(B460&lt;&gt;0,MIN(B454:B460),IF(B459&lt;&gt;0,MIN(B454:B459),IF(B458&lt;&gt;0,MIN(B454:B458),IF(B457&lt;&gt;0,MIN(B454:B457),IF(B456&lt;&gt;0,MIN(B454:B456),IF(B455&lt;&gt;0,MIN(B454:B455),B454))))))))))</f>
        <v>1013</v>
      </c>
      <c r="G454" s="1">
        <f t="shared" ref="G454" si="194">IF(AND(B463=0,F454=""),"",IF(B463=0,$B$8,B463))</f>
        <v>1013</v>
      </c>
    </row>
    <row r="455" spans="1:7" x14ac:dyDescent="0.25">
      <c r="A455" s="1">
        <f t="shared" si="169"/>
        <v>442</v>
      </c>
      <c r="B455" s="1">
        <f>RTD("rit2.rtd",,$B$7,"LASTHIST",A455)</f>
        <v>1013</v>
      </c>
      <c r="C455" s="1">
        <f t="shared" si="174"/>
        <v>45</v>
      </c>
    </row>
    <row r="456" spans="1:7" x14ac:dyDescent="0.25">
      <c r="A456" s="1">
        <f t="shared" si="169"/>
        <v>443</v>
      </c>
      <c r="B456" s="1">
        <f>RTD("rit2.rtd",,$B$7,"LASTHIST",A456)</f>
        <v>1014</v>
      </c>
      <c r="C456" s="1">
        <f t="shared" si="174"/>
        <v>45</v>
      </c>
    </row>
    <row r="457" spans="1:7" x14ac:dyDescent="0.25">
      <c r="A457" s="1">
        <f t="shared" si="169"/>
        <v>444</v>
      </c>
      <c r="B457" s="1">
        <f>RTD("rit2.rtd",,$B$7,"LASTHIST",A457)</f>
        <v>1013</v>
      </c>
      <c r="C457" s="1">
        <f t="shared" si="174"/>
        <v>45</v>
      </c>
    </row>
    <row r="458" spans="1:7" x14ac:dyDescent="0.25">
      <c r="A458" s="1">
        <f t="shared" si="169"/>
        <v>445</v>
      </c>
      <c r="B458" s="1">
        <f>RTD("rit2.rtd",,$B$7,"LASTHIST",A458)</f>
        <v>1013</v>
      </c>
      <c r="C458" s="1">
        <f t="shared" si="174"/>
        <v>45</v>
      </c>
    </row>
    <row r="459" spans="1:7" x14ac:dyDescent="0.25">
      <c r="A459" s="1">
        <f t="shared" si="169"/>
        <v>446</v>
      </c>
      <c r="B459" s="1">
        <f>RTD("rit2.rtd",,$B$7,"LASTHIST",A459)</f>
        <v>1013</v>
      </c>
      <c r="C459" s="1">
        <f t="shared" si="174"/>
        <v>45</v>
      </c>
    </row>
    <row r="460" spans="1:7" x14ac:dyDescent="0.25">
      <c r="A460" s="1">
        <f t="shared" si="169"/>
        <v>447</v>
      </c>
      <c r="B460" s="1">
        <f>RTD("rit2.rtd",,$B$7,"LASTHIST",A460)</f>
        <v>1013</v>
      </c>
      <c r="C460" s="1">
        <f t="shared" si="174"/>
        <v>45</v>
      </c>
    </row>
    <row r="461" spans="1:7" x14ac:dyDescent="0.25">
      <c r="A461" s="1">
        <f t="shared" si="169"/>
        <v>448</v>
      </c>
      <c r="B461" s="1">
        <f>RTD("rit2.rtd",,$B$7,"LASTHIST",A461)</f>
        <v>1013</v>
      </c>
      <c r="C461" s="1">
        <f t="shared" si="174"/>
        <v>45</v>
      </c>
    </row>
    <row r="462" spans="1:7" x14ac:dyDescent="0.25">
      <c r="A462" s="1">
        <f t="shared" si="169"/>
        <v>449</v>
      </c>
      <c r="B462" s="1">
        <f>RTD("rit2.rtd",,$B$7,"LASTHIST",A462)</f>
        <v>1014</v>
      </c>
      <c r="C462" s="1">
        <f t="shared" si="174"/>
        <v>45</v>
      </c>
    </row>
    <row r="463" spans="1:7" x14ac:dyDescent="0.25">
      <c r="A463" s="1">
        <f t="shared" si="169"/>
        <v>450</v>
      </c>
      <c r="B463" s="1">
        <f>RTD("rit2.rtd",,$B$7,"LASTHIST",A463)</f>
        <v>1013</v>
      </c>
      <c r="C463" s="1">
        <f t="shared" si="174"/>
        <v>45</v>
      </c>
    </row>
  </sheetData>
  <mergeCells count="1">
    <mergeCell ref="A11:G12"/>
  </mergeCells>
  <pageMargins left="0.7" right="0.7" top="0.75" bottom="0.75" header="0.3" footer="0.3"/>
  <pageSetup orientation="portrait" verticalDpi="597"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5"/>
  <sheetViews>
    <sheetView workbookViewId="0">
      <selection activeCell="E25" sqref="E25"/>
    </sheetView>
  </sheetViews>
  <sheetFormatPr defaultRowHeight="15" x14ac:dyDescent="0.25"/>
  <cols>
    <col min="1" max="1" width="23.85546875" customWidth="1"/>
    <col min="3" max="3" width="60.42578125" customWidth="1"/>
    <col min="7" max="7" width="115.7109375" customWidth="1"/>
  </cols>
  <sheetData>
    <row r="1" spans="1:18" x14ac:dyDescent="0.25">
      <c r="B1" s="4" t="s">
        <v>20</v>
      </c>
      <c r="C1" s="4" t="s">
        <v>21</v>
      </c>
      <c r="D1" s="4" t="s">
        <v>24</v>
      </c>
      <c r="E1" s="4" t="s">
        <v>13</v>
      </c>
      <c r="F1" s="4" t="s">
        <v>25</v>
      </c>
      <c r="G1" s="4" t="s">
        <v>22</v>
      </c>
      <c r="H1" s="4" t="s">
        <v>23</v>
      </c>
      <c r="J1" t="str">
        <f>LEFT(I2,1)</f>
        <v>,</v>
      </c>
      <c r="K1">
        <f>IF(J1=",",0,1)</f>
        <v>0</v>
      </c>
    </row>
    <row r="2" spans="1:18" x14ac:dyDescent="0.25">
      <c r="A2" t="s">
        <v>16</v>
      </c>
      <c r="B2">
        <v>1</v>
      </c>
      <c r="C2" t="str">
        <f>RTD("rit2.rtd",,"LATESTNEWS",B2)</f>
        <v>1,424,,Fitbit announced it will lay off 13% of its workforce due to disappointing earnings. Its share price has dropped over 80% in the past year and analysts are worried this trend is likely to continue.,</v>
      </c>
      <c r="D2" t="str">
        <f>IFERROR(O2,"")</f>
        <v>1</v>
      </c>
      <c r="E2" t="str">
        <f t="shared" ref="E2:E5" si="0">IFERROR(P2,"")</f>
        <v>424</v>
      </c>
      <c r="G2" t="str">
        <f>IF(E2="","",N2)</f>
        <v>Fitbit announced it will lay off 13% of its workforce due to disappointing earnings. Its share price has dropped over 80% in the past year and analysts are worried this trend is likely to continue.</v>
      </c>
      <c r="I2" t="str">
        <f>MID(C2,6,10000)</f>
        <v>,,Fitbit announced it will lay off 13% of its workforce due to disappointing earnings. Its share price has dropped over 80% in the past year and analysts are worried this trend is likely to continue.,</v>
      </c>
      <c r="J2" t="str">
        <f>IF(LEFT(I2,1)=",",MID(I2,2,100000),I2)</f>
        <v>,Fitbit announced it will lay off 13% of its workforce due to disappointing earnings. Its share price has dropped over 80% in the past year and analysts are worried this trend is likely to continue.,</v>
      </c>
      <c r="K2" t="str">
        <f>IF(LEFT(J2,1)=",",MID(J2,2,100000),J2)</f>
        <v>Fitbit announced it will lay off 13% of its workforce due to disappointing earnings. Its share price has dropped over 80% in the past year and analysts are worried this trend is likely to continue.,</v>
      </c>
      <c r="L2" t="str">
        <f>IF(LEFT(K2,1)=",",MID(K2,2,100000),K2)</f>
        <v>Fitbit announced it will lay off 13% of its workforce due to disappointing earnings. Its share price has dropped over 80% in the past year and analysts are worried this trend is likely to continue.,</v>
      </c>
      <c r="M2" t="str">
        <f>IF(LEFT(L2,1)=",",MID(L2,2,100000),L2)</f>
        <v>Fitbit announced it will lay off 13% of its workforce due to disappointing earnings. Its share price has dropped over 80% in the past year and analysts are worried this trend is likely to continue.,</v>
      </c>
      <c r="N2" t="str">
        <f>IF(RIGHT(M2,1)=",",LEFT(M2,LEN(M2)-1),M2)</f>
        <v>Fitbit announced it will lay off 13% of its workforce due to disappointing earnings. Its share price has dropped over 80% in the past year and analysts are worried this trend is likely to continue.</v>
      </c>
      <c r="O2" t="str">
        <f t="array" ref="O2:R2">PARSERTD(C2)</f>
        <v>1</v>
      </c>
      <c r="P2" t="str">
        <v>424</v>
      </c>
      <c r="Q2" t="str">
        <v/>
      </c>
      <c r="R2" t="str">
        <v>Fitbit announced it will lay off 13% of its workforce due to disappointing earnings. Its share price has dropped over 80% in the past year and analysts are worried this trend is likely to continue.</v>
      </c>
    </row>
    <row r="3" spans="1:18" x14ac:dyDescent="0.25">
      <c r="A3" t="s">
        <v>17</v>
      </c>
      <c r="B3">
        <v>2</v>
      </c>
      <c r="C3" t="str">
        <f>RTD("rit2.rtd",,"LATESTNEWS",B3)</f>
        <v>1,404,,Chinese government announced plans to set up a national incubation centre in Shanghai to provide co-working space, seed funds and acceleration to start-up projects. It also promised to increase funding and subsidies to help start up founders.,</v>
      </c>
      <c r="D3" t="str">
        <f t="shared" ref="D3:D5" si="1">IFERROR(O3,"")</f>
        <v>1</v>
      </c>
      <c r="E3" t="str">
        <f t="shared" si="0"/>
        <v>404</v>
      </c>
      <c r="G3" t="str">
        <f t="shared" ref="G3:G5" si="2">IF(E3="","",N3)</f>
        <v>Chinese government announced plans to set up a national incubation centre in Shanghai to provide co-working space, seed funds and acceleration to start-up projects. It also promised to increase funding and subsidies to help start up founders.</v>
      </c>
      <c r="I3" t="str">
        <f t="shared" ref="I3:I5" si="3">MID(C3,6,10000)</f>
        <v>,,Chinese government announced plans to set up a national incubation centre in Shanghai to provide co-working space, seed funds and acceleration to start-up projects. It also promised to increase funding and subsidies to help start up founders.,</v>
      </c>
      <c r="J3" t="str">
        <f t="shared" ref="J3:K5" si="4">IF(LEFT(I3,1)=",",MID(I3,2,100000),I3)</f>
        <v>,Chinese government announced plans to set up a national incubation centre in Shanghai to provide co-working space, seed funds and acceleration to start-up projects. It also promised to increase funding and subsidies to help start up founders.,</v>
      </c>
      <c r="K3" t="str">
        <f t="shared" si="4"/>
        <v>Chinese government announced plans to set up a national incubation centre in Shanghai to provide co-working space, seed funds and acceleration to start-up projects. It also promised to increase funding and subsidies to help start up founders.,</v>
      </c>
      <c r="L3" t="str">
        <f t="shared" ref="L3:M3" si="5">IF(LEFT(K3,1)=",",MID(K3,2,100000),K3)</f>
        <v>Chinese government announced plans to set up a national incubation centre in Shanghai to provide co-working space, seed funds and acceleration to start-up projects. It also promised to increase funding and subsidies to help start up founders.,</v>
      </c>
      <c r="M3" t="str">
        <f t="shared" si="5"/>
        <v>Chinese government announced plans to set up a national incubation centre in Shanghai to provide co-working space, seed funds and acceleration to start-up projects. It also promised to increase funding and subsidies to help start up founders.,</v>
      </c>
      <c r="N3" t="str">
        <f t="shared" ref="N3:N5" si="6">IF(RIGHT(M3,1)=",",LEFT(M3,LEN(M3)-1),M3)</f>
        <v>Chinese government announced plans to set up a national incubation centre in Shanghai to provide co-working space, seed funds and acceleration to start-up projects. It also promised to increase funding and subsidies to help start up founders.</v>
      </c>
      <c r="O3" t="str">
        <f t="array" ref="O3:R3">PARSERTD(C3)</f>
        <v>1</v>
      </c>
      <c r="P3" t="str">
        <v>404</v>
      </c>
      <c r="Q3" t="str">
        <v/>
      </c>
      <c r="R3" t="str">
        <v>Chinese government announced plans to set up a national incubation centre in Shanghai to provide co-working space</v>
      </c>
    </row>
    <row r="4" spans="1:18" x14ac:dyDescent="0.25">
      <c r="A4" t="s">
        <v>18</v>
      </c>
      <c r="B4">
        <v>3</v>
      </c>
      <c r="C4" t="str">
        <f>RTD("rit2.rtd",,"LATESTNEWS",B4)</f>
        <v>1,384,,AT&amp;T announced it is going to launch the evolutionary 5G wireless network in the coming month. The new 5G network is expected to increase data uploading speed by at least 200%.,</v>
      </c>
      <c r="D4" t="str">
        <f t="shared" si="1"/>
        <v>1</v>
      </c>
      <c r="E4" t="str">
        <f t="shared" si="0"/>
        <v>384</v>
      </c>
      <c r="G4" t="str">
        <f t="shared" si="2"/>
        <v>AT&amp;T announced it is going to launch the evolutionary 5G wireless network in the coming month. The new 5G network is expected to increase data uploading speed by at least 200%.</v>
      </c>
      <c r="I4" t="str">
        <f t="shared" si="3"/>
        <v>,,AT&amp;T announced it is going to launch the evolutionary 5G wireless network in the coming month. The new 5G network is expected to increase data uploading speed by at least 200%.,</v>
      </c>
      <c r="J4" t="str">
        <f t="shared" si="4"/>
        <v>,AT&amp;T announced it is going to launch the evolutionary 5G wireless network in the coming month. The new 5G network is expected to increase data uploading speed by at least 200%.,</v>
      </c>
      <c r="K4" t="str">
        <f t="shared" si="4"/>
        <v>AT&amp;T announced it is going to launch the evolutionary 5G wireless network in the coming month. The new 5G network is expected to increase data uploading speed by at least 200%.,</v>
      </c>
      <c r="L4" t="str">
        <f t="shared" ref="L4:M4" si="7">IF(LEFT(K4,1)=",",MID(K4,2,100000),K4)</f>
        <v>AT&amp;T announced it is going to launch the evolutionary 5G wireless network in the coming month. The new 5G network is expected to increase data uploading speed by at least 200%.,</v>
      </c>
      <c r="M4" t="str">
        <f t="shared" si="7"/>
        <v>AT&amp;T announced it is going to launch the evolutionary 5G wireless network in the coming month. The new 5G network is expected to increase data uploading speed by at least 200%.,</v>
      </c>
      <c r="N4" t="str">
        <f t="shared" si="6"/>
        <v>AT&amp;T announced it is going to launch the evolutionary 5G wireless network in the coming month. The new 5G network is expected to increase data uploading speed by at least 200%.</v>
      </c>
      <c r="O4" t="str">
        <f t="array" ref="O4:R4">PARSERTD(C4)</f>
        <v>1</v>
      </c>
      <c r="P4" t="str">
        <v>384</v>
      </c>
      <c r="Q4" t="str">
        <v/>
      </c>
      <c r="R4" t="str">
        <v>AT&amp;T announced it is going to launch the evolutionary 5G wireless network in the coming month. The new 5G network is expected to increase data uploading speed by at least 200%.</v>
      </c>
    </row>
    <row r="5" spans="1:18" x14ac:dyDescent="0.25">
      <c r="A5" t="s">
        <v>19</v>
      </c>
      <c r="B5">
        <v>4</v>
      </c>
      <c r="C5" t="str">
        <f>RTD("rit2.rtd",,"LATESTNEWS",B5)</f>
        <v>1,364,,After dozens of companies, including Apple, Google and Facebook, joined forces with Washington state and Minnesota to fight against the newly announced U.S. travel ban policy on the seven countries, Donald trump finally agreed to reopen U.S. to the visa holders from the countries involved. ,</v>
      </c>
      <c r="D5" t="str">
        <f t="shared" si="1"/>
        <v>1</v>
      </c>
      <c r="E5" t="str">
        <f t="shared" si="0"/>
        <v>364</v>
      </c>
      <c r="G5" t="str">
        <f t="shared" si="2"/>
        <v xml:space="preserve">After dozens of companies, including Apple, Google and Facebook, joined forces with Washington state and Minnesota to fight against the newly announced U.S. travel ban policy on the seven countries, Donald trump finally agreed to reopen U.S. to the visa holders from the countries involved. </v>
      </c>
      <c r="I5" t="str">
        <f t="shared" si="3"/>
        <v>,,After dozens of companies, including Apple, Google and Facebook, joined forces with Washington state and Minnesota to fight against the newly announced U.S. travel ban policy on the seven countries, Donald trump finally agreed to reopen U.S. to the visa holders from the countries involved. ,</v>
      </c>
      <c r="J5" t="str">
        <f t="shared" si="4"/>
        <v>,After dozens of companies, including Apple, Google and Facebook, joined forces with Washington state and Minnesota to fight against the newly announced U.S. travel ban policy on the seven countries, Donald trump finally agreed to reopen U.S. to the visa holders from the countries involved. ,</v>
      </c>
      <c r="K5" t="str">
        <f t="shared" si="4"/>
        <v>After dozens of companies, including Apple, Google and Facebook, joined forces with Washington state and Minnesota to fight against the newly announced U.S. travel ban policy on the seven countries, Donald trump finally agreed to reopen U.S. to the visa holders from the countries involved. ,</v>
      </c>
      <c r="L5" t="str">
        <f t="shared" ref="L5:M5" si="8">IF(LEFT(K5,1)=",",MID(K5,2,100000),K5)</f>
        <v>After dozens of companies, including Apple, Google and Facebook, joined forces with Washington state and Minnesota to fight against the newly announced U.S. travel ban policy on the seven countries, Donald trump finally agreed to reopen U.S. to the visa holders from the countries involved. ,</v>
      </c>
      <c r="M5" t="str">
        <f t="shared" si="8"/>
        <v>After dozens of companies, including Apple, Google and Facebook, joined forces with Washington state and Minnesota to fight against the newly announced U.S. travel ban policy on the seven countries, Donald trump finally agreed to reopen U.S. to the visa holders from the countries involved. ,</v>
      </c>
      <c r="N5" t="str">
        <f t="shared" si="6"/>
        <v xml:space="preserve">After dozens of companies, including Apple, Google and Facebook, joined forces with Washington state and Minnesota to fight against the newly announced U.S. travel ban policy on the seven countries, Donald trump finally agreed to reopen U.S. to the visa holders from the countries involved. </v>
      </c>
      <c r="O5" t="str">
        <f t="array" ref="O5:R5">PARSERTD(C5)</f>
        <v>1</v>
      </c>
      <c r="P5" t="str">
        <v>364</v>
      </c>
      <c r="Q5" t="str">
        <v/>
      </c>
      <c r="R5" t="str">
        <v>After dozens of companies</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O36"/>
  <sheetViews>
    <sheetView tabSelected="1" topLeftCell="A6" zoomScale="70" zoomScaleNormal="70" zoomScaleSheetLayoutView="110" workbookViewId="0">
      <selection activeCell="B2" sqref="B2:L25"/>
    </sheetView>
  </sheetViews>
  <sheetFormatPr defaultColWidth="9.140625" defaultRowHeight="15" x14ac:dyDescent="0.25"/>
  <cols>
    <col min="1" max="1" width="9.140625" style="5"/>
    <col min="2" max="2" width="18.140625" style="5" customWidth="1"/>
    <col min="3" max="11" width="9.140625" style="5"/>
    <col min="12" max="12" width="45.85546875" style="5" customWidth="1"/>
    <col min="13" max="16384" width="9.140625" style="5"/>
  </cols>
  <sheetData>
    <row r="2" spans="2:15" ht="18.75" x14ac:dyDescent="0.3">
      <c r="B2" s="10" t="s">
        <v>27</v>
      </c>
      <c r="C2" s="11"/>
      <c r="D2" s="12"/>
      <c r="E2" s="12"/>
      <c r="F2" s="12"/>
      <c r="G2" s="12"/>
      <c r="H2" s="12"/>
      <c r="I2" s="12"/>
      <c r="J2" s="12"/>
      <c r="K2" s="12"/>
      <c r="L2" s="12"/>
    </row>
    <row r="3" spans="2:15" ht="43.15" customHeight="1" x14ac:dyDescent="0.25">
      <c r="B3" s="16" t="s">
        <v>28</v>
      </c>
      <c r="C3" s="21" t="str">
        <f>News!G2</f>
        <v>Fitbit announced it will lay off 13% of its workforce due to disappointing earnings. Its share price has dropped over 80% in the past year and analysts are worried this trend is likely to continue.</v>
      </c>
      <c r="D3" s="21"/>
      <c r="E3" s="21"/>
      <c r="F3" s="21"/>
      <c r="G3" s="21"/>
      <c r="H3" s="21"/>
      <c r="I3" s="21"/>
      <c r="J3" s="21"/>
      <c r="K3" s="21"/>
      <c r="L3" s="21"/>
    </row>
    <row r="4" spans="2:15" ht="43.15" customHeight="1" x14ac:dyDescent="0.25">
      <c r="B4" s="17"/>
      <c r="C4" s="22"/>
      <c r="D4" s="22"/>
      <c r="E4" s="22"/>
      <c r="F4" s="22"/>
      <c r="G4" s="22"/>
      <c r="H4" s="22"/>
      <c r="I4" s="22"/>
      <c r="J4" s="22"/>
      <c r="K4" s="22"/>
      <c r="L4" s="22"/>
    </row>
    <row r="5" spans="2:15" ht="43.15" customHeight="1" x14ac:dyDescent="0.25">
      <c r="B5" s="18" t="s">
        <v>38</v>
      </c>
      <c r="C5" s="23" t="str">
        <f>News!G3</f>
        <v>Chinese government announced plans to set up a national incubation centre in Shanghai to provide co-working space, seed funds and acceleration to start-up projects. It also promised to increase funding and subsidies to help start up founders.</v>
      </c>
      <c r="D5" s="23"/>
      <c r="E5" s="23"/>
      <c r="F5" s="23"/>
      <c r="G5" s="23"/>
      <c r="H5" s="23"/>
      <c r="I5" s="23"/>
      <c r="J5" s="23"/>
      <c r="K5" s="23"/>
      <c r="L5" s="23"/>
      <c r="O5" s="5" t="s">
        <v>30</v>
      </c>
    </row>
    <row r="6" spans="2:15" ht="43.15" customHeight="1" x14ac:dyDescent="0.25">
      <c r="B6" s="19"/>
      <c r="C6" s="24"/>
      <c r="D6" s="24"/>
      <c r="E6" s="24"/>
      <c r="F6" s="24"/>
      <c r="G6" s="24"/>
      <c r="H6" s="24"/>
      <c r="I6" s="24"/>
      <c r="J6" s="24"/>
      <c r="K6" s="24"/>
      <c r="L6" s="24"/>
      <c r="O6" s="5" t="s">
        <v>31</v>
      </c>
    </row>
    <row r="7" spans="2:15" x14ac:dyDescent="0.25">
      <c r="B7" s="13"/>
      <c r="C7" s="13"/>
      <c r="D7" s="13"/>
      <c r="E7" s="13"/>
      <c r="F7" s="13"/>
      <c r="G7" s="13"/>
      <c r="H7" s="13"/>
      <c r="I7" s="13"/>
      <c r="J7" s="13"/>
      <c r="K7" s="13"/>
      <c r="L7" s="13"/>
      <c r="O7" s="5" t="s">
        <v>32</v>
      </c>
    </row>
    <row r="8" spans="2:15" x14ac:dyDescent="0.25">
      <c r="B8" s="13"/>
      <c r="C8" s="13"/>
      <c r="D8" s="13"/>
      <c r="E8" s="13"/>
      <c r="F8" s="13"/>
      <c r="G8" s="13"/>
      <c r="H8" s="13"/>
      <c r="I8" s="13"/>
      <c r="J8" s="13"/>
      <c r="K8" s="13"/>
      <c r="L8" s="13"/>
    </row>
    <row r="9" spans="2:15" x14ac:dyDescent="0.25">
      <c r="B9" s="13"/>
      <c r="C9" s="13"/>
      <c r="D9" s="13"/>
      <c r="E9" s="13"/>
      <c r="F9" s="13"/>
      <c r="G9" s="13"/>
      <c r="H9" s="13"/>
      <c r="I9" s="13"/>
      <c r="J9" s="13"/>
      <c r="K9" s="13"/>
      <c r="L9" s="13"/>
    </row>
    <row r="10" spans="2:15" x14ac:dyDescent="0.25">
      <c r="B10" s="13"/>
      <c r="C10" s="13"/>
      <c r="D10" s="13"/>
      <c r="E10" s="13"/>
      <c r="F10" s="13"/>
      <c r="G10" s="13"/>
      <c r="H10" s="13"/>
      <c r="I10" s="13"/>
      <c r="J10" s="13"/>
      <c r="K10" s="13"/>
      <c r="L10" s="13"/>
    </row>
    <row r="11" spans="2:15" x14ac:dyDescent="0.25">
      <c r="B11" s="13"/>
      <c r="C11" s="13"/>
      <c r="D11" s="13"/>
      <c r="E11" s="13"/>
      <c r="F11" s="13"/>
      <c r="G11" s="13"/>
      <c r="H11" s="13"/>
      <c r="I11" s="13"/>
      <c r="J11" s="13"/>
      <c r="K11" s="13"/>
      <c r="L11" s="13"/>
    </row>
    <row r="12" spans="2:15" x14ac:dyDescent="0.25">
      <c r="B12" s="13"/>
      <c r="C12" s="13"/>
      <c r="D12" s="13"/>
      <c r="E12" s="13"/>
      <c r="F12" s="13"/>
      <c r="G12" s="13"/>
      <c r="H12" s="13"/>
      <c r="I12" s="13"/>
      <c r="J12" s="13"/>
      <c r="K12" s="13"/>
      <c r="L12" s="13"/>
    </row>
    <row r="13" spans="2:15" x14ac:dyDescent="0.25">
      <c r="B13" s="13"/>
      <c r="C13" s="13"/>
      <c r="D13" s="13"/>
      <c r="E13" s="13"/>
      <c r="F13" s="13"/>
      <c r="G13" s="13"/>
      <c r="H13" s="13"/>
      <c r="I13" s="13"/>
      <c r="J13" s="13"/>
      <c r="K13" s="13"/>
      <c r="L13" s="13"/>
    </row>
    <row r="14" spans="2:15" x14ac:dyDescent="0.25">
      <c r="B14" s="13"/>
      <c r="C14" s="13"/>
      <c r="D14" s="13"/>
      <c r="E14" s="13"/>
      <c r="F14" s="13"/>
      <c r="G14" s="13"/>
      <c r="H14" s="13"/>
      <c r="I14" s="13"/>
      <c r="J14" s="13"/>
      <c r="K14" s="13"/>
      <c r="L14" s="13"/>
    </row>
    <row r="15" spans="2:15" x14ac:dyDescent="0.25">
      <c r="B15" s="13"/>
      <c r="C15" s="13"/>
      <c r="D15" s="13"/>
      <c r="E15" s="13"/>
      <c r="F15" s="13"/>
      <c r="G15" s="13"/>
      <c r="H15" s="13"/>
      <c r="I15" s="13"/>
      <c r="J15" s="13"/>
      <c r="K15" s="13"/>
      <c r="L15" s="13"/>
    </row>
    <row r="16" spans="2:15" x14ac:dyDescent="0.25">
      <c r="B16" s="13"/>
      <c r="C16" s="13"/>
      <c r="D16" s="13"/>
      <c r="E16" s="13"/>
      <c r="F16" s="13"/>
      <c r="G16" s="13"/>
      <c r="H16" s="13"/>
      <c r="I16" s="13"/>
      <c r="J16" s="13"/>
      <c r="K16" s="13"/>
      <c r="L16" s="13"/>
    </row>
    <row r="17" spans="2:12" x14ac:dyDescent="0.25">
      <c r="B17" s="13"/>
      <c r="C17" s="13"/>
      <c r="D17" s="13"/>
      <c r="E17" s="13"/>
      <c r="F17" s="13"/>
      <c r="G17" s="13"/>
      <c r="H17" s="13"/>
      <c r="I17" s="13"/>
      <c r="J17" s="13"/>
      <c r="K17" s="13"/>
      <c r="L17" s="13"/>
    </row>
    <row r="18" spans="2:12" x14ac:dyDescent="0.25">
      <c r="B18" s="13"/>
      <c r="C18" s="13"/>
      <c r="D18" s="13"/>
      <c r="E18" s="13"/>
      <c r="F18" s="13"/>
      <c r="G18" s="13"/>
      <c r="H18" s="13"/>
      <c r="I18" s="13"/>
      <c r="J18" s="13"/>
      <c r="K18" s="13"/>
      <c r="L18" s="13"/>
    </row>
    <row r="19" spans="2:12" x14ac:dyDescent="0.25">
      <c r="B19" s="13"/>
      <c r="C19" s="13"/>
      <c r="D19" s="13"/>
      <c r="E19" s="13"/>
      <c r="F19" s="13"/>
      <c r="G19" s="13"/>
      <c r="H19" s="13"/>
      <c r="I19" s="13"/>
      <c r="J19" s="13"/>
      <c r="K19" s="13"/>
      <c r="L19" s="13"/>
    </row>
    <row r="20" spans="2:12" x14ac:dyDescent="0.25">
      <c r="B20" s="13"/>
      <c r="C20" s="13"/>
      <c r="D20" s="13"/>
      <c r="E20" s="13"/>
      <c r="F20" s="13"/>
      <c r="G20" s="13"/>
      <c r="H20" s="13"/>
      <c r="I20" s="13"/>
      <c r="J20" s="13"/>
      <c r="K20" s="13"/>
      <c r="L20" s="13"/>
    </row>
    <row r="21" spans="2:12" x14ac:dyDescent="0.25">
      <c r="B21" s="13"/>
      <c r="C21" s="13"/>
      <c r="D21" s="13"/>
      <c r="E21" s="13"/>
      <c r="F21" s="13"/>
      <c r="G21" s="13"/>
      <c r="H21" s="13"/>
      <c r="I21" s="13"/>
      <c r="J21" s="13"/>
      <c r="K21" s="13"/>
      <c r="L21" s="13"/>
    </row>
    <row r="22" spans="2:12" x14ac:dyDescent="0.25">
      <c r="B22" s="13"/>
      <c r="C22" s="13"/>
      <c r="D22" s="13"/>
      <c r="E22" s="13"/>
      <c r="F22" s="13"/>
      <c r="G22" s="13"/>
      <c r="H22" s="13"/>
      <c r="I22" s="13"/>
      <c r="J22" s="13"/>
      <c r="K22" s="13"/>
      <c r="L22" s="13"/>
    </row>
    <row r="23" spans="2:12" s="6" customFormat="1" ht="37.5" customHeight="1" x14ac:dyDescent="0.25">
      <c r="B23" s="14"/>
      <c r="C23" s="14"/>
      <c r="D23" s="14"/>
      <c r="E23" s="14"/>
      <c r="F23" s="14"/>
      <c r="G23" s="14"/>
      <c r="H23" s="14"/>
      <c r="I23" s="14"/>
      <c r="J23" s="14"/>
      <c r="K23" s="14"/>
      <c r="L23" s="14"/>
    </row>
    <row r="24" spans="2:12" s="6" customFormat="1" ht="37.5" customHeight="1" x14ac:dyDescent="0.25">
      <c r="B24" s="14"/>
      <c r="C24" s="14"/>
      <c r="D24" s="14"/>
      <c r="E24" s="14"/>
      <c r="F24" s="14"/>
      <c r="G24" s="14"/>
      <c r="H24" s="14"/>
      <c r="I24" s="14"/>
      <c r="J24" s="14"/>
      <c r="K24" s="14"/>
      <c r="L24" s="14"/>
    </row>
    <row r="25" spans="2:12" s="6" customFormat="1" ht="37.5" customHeight="1" x14ac:dyDescent="0.25">
      <c r="B25" s="14"/>
      <c r="C25" s="14"/>
      <c r="D25" s="14"/>
      <c r="E25" s="14"/>
      <c r="F25" s="14"/>
      <c r="G25" s="14"/>
      <c r="H25" s="14"/>
      <c r="I25" s="14"/>
      <c r="J25" s="14"/>
      <c r="K25" s="14"/>
      <c r="L25" s="14"/>
    </row>
    <row r="26" spans="2:12" s="6" customFormat="1" ht="37.5" customHeight="1" x14ac:dyDescent="0.25"/>
    <row r="27" spans="2:12" x14ac:dyDescent="0.25">
      <c r="C27" s="20"/>
      <c r="D27" s="20"/>
      <c r="E27" s="20"/>
      <c r="F27" s="20"/>
      <c r="G27" s="20"/>
      <c r="H27" s="20"/>
      <c r="I27" s="20"/>
      <c r="J27" s="20"/>
      <c r="K27" s="20"/>
      <c r="L27" s="20"/>
    </row>
    <row r="28" spans="2:12" x14ac:dyDescent="0.25">
      <c r="C28" s="20"/>
      <c r="D28" s="20"/>
      <c r="E28" s="20"/>
      <c r="F28" s="20"/>
      <c r="G28" s="20"/>
      <c r="H28" s="20"/>
      <c r="I28" s="20"/>
      <c r="J28" s="20"/>
      <c r="K28" s="20"/>
      <c r="L28" s="20"/>
    </row>
    <row r="29" spans="2:12" x14ac:dyDescent="0.25">
      <c r="C29" s="20"/>
      <c r="D29" s="20"/>
      <c r="E29" s="20"/>
      <c r="F29" s="20"/>
      <c r="G29" s="20"/>
      <c r="H29" s="20"/>
      <c r="I29" s="20"/>
      <c r="J29" s="20"/>
      <c r="K29" s="20"/>
      <c r="L29" s="20"/>
    </row>
    <row r="30" spans="2:12" x14ac:dyDescent="0.25">
      <c r="C30" s="20"/>
      <c r="D30" s="20"/>
      <c r="E30" s="20"/>
      <c r="F30" s="20"/>
      <c r="G30" s="20"/>
      <c r="H30" s="20"/>
      <c r="I30" s="20"/>
      <c r="J30" s="20"/>
      <c r="K30" s="20"/>
      <c r="L30" s="20"/>
    </row>
    <row r="31" spans="2:12" x14ac:dyDescent="0.25">
      <c r="C31" s="20"/>
      <c r="D31" s="20"/>
      <c r="E31" s="20"/>
      <c r="F31" s="20"/>
      <c r="G31" s="20"/>
      <c r="H31" s="20"/>
      <c r="I31" s="20"/>
      <c r="J31" s="20"/>
      <c r="K31" s="20"/>
      <c r="L31" s="20"/>
    </row>
    <row r="32" spans="2:12" x14ac:dyDescent="0.25">
      <c r="C32" s="20"/>
      <c r="D32" s="20"/>
      <c r="E32" s="20"/>
      <c r="F32" s="20"/>
      <c r="G32" s="20"/>
      <c r="H32" s="20"/>
      <c r="I32" s="20"/>
      <c r="J32" s="20"/>
      <c r="K32" s="20"/>
      <c r="L32" s="20"/>
    </row>
    <row r="33" spans="3:12" x14ac:dyDescent="0.25">
      <c r="C33" s="20"/>
      <c r="D33" s="20"/>
      <c r="E33" s="20"/>
      <c r="F33" s="20"/>
      <c r="G33" s="20"/>
      <c r="H33" s="20"/>
      <c r="I33" s="20"/>
      <c r="J33" s="20"/>
      <c r="K33" s="20"/>
      <c r="L33" s="20"/>
    </row>
    <row r="34" spans="3:12" x14ac:dyDescent="0.25">
      <c r="C34" s="20"/>
      <c r="D34" s="20"/>
      <c r="E34" s="20"/>
      <c r="F34" s="20"/>
      <c r="G34" s="20"/>
      <c r="H34" s="20"/>
      <c r="I34" s="20"/>
      <c r="J34" s="20"/>
      <c r="K34" s="20"/>
      <c r="L34" s="20"/>
    </row>
    <row r="35" spans="3:12" x14ac:dyDescent="0.25">
      <c r="C35" s="20"/>
      <c r="D35" s="20"/>
      <c r="E35" s="20"/>
      <c r="F35" s="20"/>
      <c r="G35" s="20"/>
      <c r="H35" s="20"/>
      <c r="I35" s="20"/>
      <c r="J35" s="20"/>
      <c r="K35" s="20"/>
      <c r="L35" s="20"/>
    </row>
    <row r="36" spans="3:12" x14ac:dyDescent="0.25">
      <c r="C36" s="20"/>
      <c r="D36" s="20"/>
      <c r="E36" s="20"/>
      <c r="F36" s="20"/>
      <c r="G36" s="20"/>
      <c r="H36" s="20"/>
      <c r="I36" s="20"/>
      <c r="J36" s="20"/>
      <c r="K36" s="20"/>
      <c r="L36" s="20"/>
    </row>
  </sheetData>
  <mergeCells count="14">
    <mergeCell ref="B3:B4"/>
    <mergeCell ref="B5:B6"/>
    <mergeCell ref="C34:L34"/>
    <mergeCell ref="C35:L35"/>
    <mergeCell ref="C36:L36"/>
    <mergeCell ref="C28:L28"/>
    <mergeCell ref="C29:L29"/>
    <mergeCell ref="C30:L30"/>
    <mergeCell ref="C31:L31"/>
    <mergeCell ref="C32:L32"/>
    <mergeCell ref="C33:L33"/>
    <mergeCell ref="C27:L27"/>
    <mergeCell ref="C3:L4"/>
    <mergeCell ref="C5:L6"/>
  </mergeCells>
  <pageMargins left="0.7" right="0.7" top="0.75" bottom="0.75" header="0.3" footer="0.3"/>
  <pageSetup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start">
                <anchor moveWithCells="1" sizeWithCells="1">
                  <from>
                    <xdr:col>12</xdr:col>
                    <xdr:colOff>19050</xdr:colOff>
                    <xdr:row>0</xdr:row>
                    <xdr:rowOff>47625</xdr:rowOff>
                  </from>
                  <to>
                    <xdr:col>13</xdr:col>
                    <xdr:colOff>257175</xdr:colOff>
                    <xdr:row>2</xdr:row>
                    <xdr:rowOff>114300</xdr:rowOff>
                  </to>
                </anchor>
              </controlPr>
            </control>
          </mc:Choice>
        </mc:AlternateContent>
        <mc:AlternateContent xmlns:mc="http://schemas.openxmlformats.org/markup-compatibility/2006">
          <mc:Choice Requires="x14">
            <control shapeId="1038" r:id="rId5" name="Button 14">
              <controlPr defaultSize="0" print="0" autoFill="0" autoPict="0" macro="[0]!StopAutoRun">
                <anchor moveWithCells="1" sizeWithCells="1">
                  <from>
                    <xdr:col>12</xdr:col>
                    <xdr:colOff>47625</xdr:colOff>
                    <xdr:row>2</xdr:row>
                    <xdr:rowOff>180975</xdr:rowOff>
                  </from>
                  <to>
                    <xdr:col>13</xdr:col>
                    <xdr:colOff>257175</xdr:colOff>
                    <xdr:row>5</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Chart</vt:lpstr>
      <vt:lpstr>News</vt:lpstr>
      <vt:lpstr>Combined</vt:lpstr>
      <vt:lpstr>mmss</vt:lpstr>
      <vt:lpstr>Timeremaining</vt:lpstr>
    </vt:vector>
  </TitlesOfParts>
  <Company>Rotman School of Management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Salerno</dc:creator>
  <cp:lastModifiedBy>RITC124</cp:lastModifiedBy>
  <dcterms:created xsi:type="dcterms:W3CDTF">2014-10-07T18:41:08Z</dcterms:created>
  <dcterms:modified xsi:type="dcterms:W3CDTF">2017-02-22T20:10:58Z</dcterms:modified>
</cp:coreProperties>
</file>